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factory\"/>
    </mc:Choice>
  </mc:AlternateContent>
  <xr:revisionPtr revIDLastSave="0" documentId="13_ncr:1_{81859974-CA81-468B-B1DA-DAE47B0766B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年5月1日至5月31日兔司家客户月度业绩对比表" sheetId="4" r:id="rId1"/>
  </sheets>
  <calcPr calcId="191029"/>
</workbook>
</file>

<file path=xl/calcChain.xml><?xml version="1.0" encoding="utf-8"?>
<calcChain xmlns="http://schemas.openxmlformats.org/spreadsheetml/2006/main">
  <c r="G5" i="4" l="1"/>
  <c r="G4" i="4"/>
  <c r="H3" i="4"/>
  <c r="O3" i="4"/>
  <c r="L3" i="4"/>
  <c r="J3" i="4"/>
  <c r="N3" i="4"/>
  <c r="M3" i="4"/>
  <c r="K3" i="4"/>
  <c r="I3" i="4"/>
  <c r="C3" i="4"/>
  <c r="D5" i="4"/>
  <c r="A5" i="4"/>
  <c r="D4" i="4"/>
  <c r="A4" i="4"/>
  <c r="F3" i="4"/>
  <c r="E3" i="4"/>
  <c r="D3" i="4" l="1"/>
  <c r="G3" i="4"/>
</calcChain>
</file>

<file path=xl/sharedStrings.xml><?xml version="1.0" encoding="utf-8"?>
<sst xmlns="http://schemas.openxmlformats.org/spreadsheetml/2006/main" count="17" uniqueCount="17">
  <si>
    <t>序号</t>
  </si>
  <si>
    <t>大客户名称</t>
  </si>
  <si>
    <t>配送
次数</t>
  </si>
  <si>
    <t>运费
金额</t>
  </si>
  <si>
    <t>外购品
金额</t>
  </si>
  <si>
    <t>自产品
金额</t>
  </si>
  <si>
    <t>退货量</t>
  </si>
  <si>
    <t>出库金额</t>
  </si>
  <si>
    <t>退货金额</t>
  </si>
  <si>
    <t>合计</t>
  </si>
  <si>
    <r>
      <t>实际出库金额
/</t>
    </r>
    <r>
      <rPr>
        <b/>
        <sz val="10"/>
        <color rgb="FFFF0000"/>
        <rFont val="微软雅黑"/>
        <family val="2"/>
        <charset val="134"/>
      </rPr>
      <t>不含</t>
    </r>
    <r>
      <rPr>
        <b/>
        <sz val="10"/>
        <color rgb="FF000000"/>
        <rFont val="微软雅黑"/>
        <family val="2"/>
        <charset val="134"/>
      </rPr>
      <t>运费</t>
    </r>
  </si>
  <si>
    <t>实际出库金额
/含运费</t>
    <phoneticPr fontId="10" type="noConversion"/>
  </si>
  <si>
    <t>销售
出库单数</t>
    <phoneticPr fontId="10" type="noConversion"/>
  </si>
  <si>
    <t>销售
退货单数</t>
    <phoneticPr fontId="10" type="noConversion"/>
  </si>
  <si>
    <t>出库量</t>
    <phoneticPr fontId="10" type="noConversion"/>
  </si>
  <si>
    <t>实际
出库量</t>
    <phoneticPr fontId="10" type="noConversion"/>
  </si>
  <si>
    <r>
      <t xml:space="preserve">2026年5月1日至5月31日工厂配送兔司家门店客户月度业绩对比表
</t>
    </r>
    <r>
      <rPr>
        <b/>
        <sz val="11"/>
        <color rgb="FF000000"/>
        <rFont val="微软雅黑"/>
        <family val="2"/>
        <charset val="134"/>
      </rPr>
      <t>（按客户维度+货品类别维度统计）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</si>
</sst>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1">
    <font>
      <sz val="11"/>
      <color indexed="8"/>
      <name val="宋体"/>
      <charset val="134"/>
      <scheme val="minor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name val="微软雅黑"/>
      <family val="2"/>
      <charset val="134"/>
    </font>
    <font>
      <b/>
      <sz val="16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6" fontId="5" fillId="3" borderId="1" xfId="0" applyNumberFormat="1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workbookViewId="0">
      <selection sqref="A1:O1"/>
    </sheetView>
  </sheetViews>
  <sheetFormatPr defaultColWidth="9" defaultRowHeight="19.95" customHeight="1"/>
  <cols>
    <col min="1" max="1" width="4.109375" style="10" customWidth="1"/>
    <col min="2" max="2" width="18.21875" style="10" customWidth="1"/>
    <col min="3" max="3" width="12.21875" style="10" customWidth="1"/>
    <col min="4" max="4" width="12.109375" style="10" customWidth="1"/>
    <col min="5" max="5" width="6.44140625" style="9" customWidth="1"/>
    <col min="6" max="6" width="9.21875" style="9" customWidth="1"/>
    <col min="7" max="7" width="10.33203125" style="10" customWidth="1"/>
    <col min="8" max="8" width="10.33203125" style="10" bestFit="1" customWidth="1"/>
    <col min="9" max="10" width="9.109375" style="9" bestFit="1" customWidth="1"/>
    <col min="11" max="11" width="6.6640625" style="9" customWidth="1"/>
    <col min="12" max="12" width="6.21875" style="9" customWidth="1"/>
    <col min="13" max="13" width="7.21875" style="9" customWidth="1"/>
    <col min="14" max="14" width="12.21875" style="9" customWidth="1"/>
    <col min="15" max="15" width="9.109375" style="9" bestFit="1" customWidth="1"/>
    <col min="16" max="16" width="8.88671875" style="9" customWidth="1"/>
    <col min="17" max="17" width="9" style="9"/>
    <col min="18" max="16384" width="9" style="10"/>
  </cols>
  <sheetData>
    <row r="1" spans="1:17" s="2" customFormat="1" ht="36" customHeight="1">
      <c r="A1" s="18" t="s">
        <v>16</v>
      </c>
      <c r="B1" s="18"/>
      <c r="C1" s="19"/>
      <c r="D1" s="19"/>
      <c r="E1" s="19"/>
      <c r="F1" s="19"/>
      <c r="G1" s="19"/>
      <c r="H1" s="19"/>
      <c r="I1" s="19"/>
      <c r="J1" s="20"/>
      <c r="K1" s="20"/>
      <c r="L1" s="18"/>
      <c r="M1" s="18"/>
      <c r="N1" s="18"/>
      <c r="O1" s="18"/>
      <c r="P1" s="1"/>
      <c r="Q1" s="1"/>
    </row>
    <row r="2" spans="1:17" ht="33" customHeight="1">
      <c r="A2" s="3" t="s">
        <v>0</v>
      </c>
      <c r="B2" s="3" t="s">
        <v>1</v>
      </c>
      <c r="C2" s="4" t="s">
        <v>11</v>
      </c>
      <c r="D2" s="5" t="s">
        <v>10</v>
      </c>
      <c r="E2" s="6" t="s">
        <v>2</v>
      </c>
      <c r="F2" s="6" t="s">
        <v>3</v>
      </c>
      <c r="G2" s="6" t="s">
        <v>4</v>
      </c>
      <c r="H2" s="6" t="s">
        <v>5</v>
      </c>
      <c r="I2" s="7" t="s">
        <v>12</v>
      </c>
      <c r="J2" s="7" t="s">
        <v>13</v>
      </c>
      <c r="K2" s="8" t="s">
        <v>14</v>
      </c>
      <c r="L2" s="8" t="s">
        <v>6</v>
      </c>
      <c r="M2" s="7" t="s">
        <v>15</v>
      </c>
      <c r="N2" s="8" t="s">
        <v>7</v>
      </c>
      <c r="O2" s="8" t="s">
        <v>8</v>
      </c>
    </row>
    <row r="3" spans="1:17" ht="22.05" customHeight="1">
      <c r="A3" s="21" t="s">
        <v>9</v>
      </c>
      <c r="B3" s="22"/>
      <c r="C3" s="13">
        <f t="shared" ref="C3:H3" si="0">SUM(C4:C5)</f>
        <v>0</v>
      </c>
      <c r="D3" s="13">
        <f t="shared" si="0"/>
        <v>0</v>
      </c>
      <c r="E3" s="11">
        <f t="shared" si="0"/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2">
        <f t="shared" ref="I3:O3" si="1">SUM(I4:I5)</f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7">
        <f t="shared" si="1"/>
        <v>0</v>
      </c>
      <c r="O3" s="17">
        <f t="shared" si="1"/>
        <v>0</v>
      </c>
    </row>
    <row r="4" spans="1:17" ht="22.05" customHeight="1">
      <c r="A4" s="8">
        <f>ROW()-3</f>
        <v>1</v>
      </c>
      <c r="B4" s="3"/>
      <c r="C4" s="13"/>
      <c r="D4" s="13">
        <f>C4-F4</f>
        <v>0</v>
      </c>
      <c r="E4" s="11"/>
      <c r="F4" s="16"/>
      <c r="G4" s="16">
        <f>C4-F4-H4</f>
        <v>0</v>
      </c>
      <c r="H4" s="16"/>
      <c r="I4" s="14"/>
      <c r="J4" s="14"/>
      <c r="K4" s="14"/>
      <c r="L4" s="14"/>
      <c r="M4" s="14"/>
      <c r="N4" s="15"/>
      <c r="O4" s="15"/>
    </row>
    <row r="5" spans="1:17" ht="22.05" customHeight="1">
      <c r="A5" s="8">
        <f t="shared" ref="A5" si="2">ROW()-3</f>
        <v>2</v>
      </c>
      <c r="B5" s="3"/>
      <c r="C5" s="13"/>
      <c r="D5" s="13">
        <f t="shared" ref="D5" si="3">C5-F5</f>
        <v>0</v>
      </c>
      <c r="E5" s="11"/>
      <c r="F5" s="16"/>
      <c r="G5" s="16">
        <f>C5-F5-H5</f>
        <v>0</v>
      </c>
      <c r="H5" s="16"/>
      <c r="I5" s="14"/>
      <c r="J5" s="14"/>
      <c r="K5" s="14"/>
      <c r="L5" s="14"/>
      <c r="M5" s="14"/>
      <c r="N5" s="15"/>
      <c r="O5" s="15"/>
    </row>
  </sheetData>
  <mergeCells count="2">
    <mergeCell ref="A1:O1"/>
    <mergeCell ref="A3:B3"/>
  </mergeCells>
  <phoneticPr fontId="10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2026年5月1日至5月31日兔司家客户月度业绩对比表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cp:lastPrinted>2026-06-04T03:18:10Z</cp:lastPrinted>
  <dcterms:created xsi:type="dcterms:W3CDTF">2026-05-31T22:25:00Z</dcterms:created>
  <dcterms:modified xsi:type="dcterms:W3CDTF">2026-07-09T07:48:44Z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7E7ADE1FF7BE4A71B2CA8A45B1BDB6F3_13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