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"/>
    </mc:Choice>
  </mc:AlternateContent>
  <xr:revisionPtr revIDLastSave="0" documentId="13_ncr:1_{0EA7D019-50CB-473F-A44F-F58AD712B8B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配送门店业绩表 5.25-5.31" sheetId="4" r:id="rId1"/>
    <sheet name="送门店货品对比表及各商品大类销售排行表 5.25-5.31" sheetId="3" r:id="rId2"/>
    <sheet name="送门店货品销售排行表 5.25-5.31" sheetId="1" r:id="rId3"/>
  </sheets>
  <calcPr calcId="191029"/>
</workbook>
</file>

<file path=xl/calcChain.xml><?xml version="1.0" encoding="utf-8"?>
<calcChain xmlns="http://schemas.openxmlformats.org/spreadsheetml/2006/main">
  <c r="A5" i="1" l="1"/>
  <c r="H7" i="3"/>
  <c r="H6" i="3"/>
  <c r="H5" i="3"/>
  <c r="G7" i="3"/>
  <c r="G6" i="3"/>
  <c r="G5" i="3"/>
  <c r="G5" i="4"/>
  <c r="G4" i="4"/>
  <c r="H3" i="4"/>
  <c r="O3" i="4"/>
  <c r="L3" i="4"/>
  <c r="J3" i="4"/>
  <c r="N3" i="4"/>
  <c r="M3" i="4"/>
  <c r="K3" i="4"/>
  <c r="I3" i="4"/>
  <c r="C3" i="4"/>
  <c r="A6" i="1"/>
  <c r="A4" i="1"/>
  <c r="H3" i="1"/>
  <c r="G3" i="1"/>
  <c r="A7" i="3"/>
  <c r="A6" i="3"/>
  <c r="A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D5" i="4"/>
  <c r="A5" i="4"/>
  <c r="D4" i="4"/>
  <c r="A4" i="4"/>
  <c r="F3" i="4"/>
  <c r="E3" i="4"/>
  <c r="D3" i="4" l="1"/>
  <c r="H4" i="3"/>
  <c r="G4" i="3"/>
  <c r="G3" i="4"/>
</calcChain>
</file>

<file path=xl/sharedStrings.xml><?xml version="1.0" encoding="utf-8"?>
<sst xmlns="http://schemas.openxmlformats.org/spreadsheetml/2006/main" count="65" uniqueCount="38">
  <si>
    <t>序号</t>
  </si>
  <si>
    <t>大客户名称</t>
  </si>
  <si>
    <t>配送
次数</t>
  </si>
  <si>
    <t>运费
金额</t>
  </si>
  <si>
    <t>外购品
金额</t>
  </si>
  <si>
    <t>自产品
金额</t>
  </si>
  <si>
    <t>退货量</t>
  </si>
  <si>
    <t>出库金额</t>
  </si>
  <si>
    <t>退货金额</t>
  </si>
  <si>
    <t>合计</t>
  </si>
  <si>
    <t>2026年5月25日至5月31日工厂配送兔司家门店货品对比表及各商品大类销售排行表</t>
  </si>
  <si>
    <t>商品名称</t>
  </si>
  <si>
    <t>商品大类</t>
  </si>
  <si>
    <t>商品分类</t>
  </si>
  <si>
    <t>规格</t>
  </si>
  <si>
    <t>单位</t>
  </si>
  <si>
    <t>滨江店</t>
  </si>
  <si>
    <t>广钢店</t>
  </si>
  <si>
    <t>禾仰</t>
  </si>
  <si>
    <t>信步</t>
  </si>
  <si>
    <t>圣堡</t>
  </si>
  <si>
    <t>广园</t>
  </si>
  <si>
    <t>尚城店</t>
  </si>
  <si>
    <t>莞寮厦店</t>
  </si>
  <si>
    <t>南安市场</t>
  </si>
  <si>
    <t>数量</t>
  </si>
  <si>
    <t>销售额</t>
  </si>
  <si>
    <t>销量</t>
  </si>
  <si>
    <t>2026年5月25日至5月31日工厂配送兔司家门店货品销售排行表</t>
  </si>
  <si>
    <t>合计数量</t>
  </si>
  <si>
    <t>合计销售额</t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</si>
  <si>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</si>
  <si>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实际出库金额
/含运费</t>
    <phoneticPr fontId="10" type="noConversion"/>
  </si>
  <si>
    <t>销售
出库单数</t>
    <phoneticPr fontId="10" type="noConversion"/>
  </si>
  <si>
    <t>销售
退货单数</t>
    <phoneticPr fontId="10" type="noConversion"/>
  </si>
  <si>
    <t>出库量</t>
    <phoneticPr fontId="10" type="noConversion"/>
  </si>
  <si>
    <t>实际
出库量</t>
    <phoneticPr fontId="10" type="noConversion"/>
  </si>
  <si>
    <r>
      <t xml:space="preserve">2026年5月25日至5月31日工厂配送兔司家门店货款统计表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</si>
</sst>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4">
    <font>
      <sz val="11"/>
      <color indexed="8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indexed="8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6" fontId="13" fillId="3" borderId="7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0" fontId="13" fillId="0" borderId="1" xfId="0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activeCell="H3" sqref="H3"/>
    </sheetView>
  </sheetViews>
  <sheetFormatPr defaultColWidth="9" defaultRowHeight="19.95" customHeight="1"/>
  <cols>
    <col min="1" max="1" width="4.109375" style="10" customWidth="1"/>
    <col min="2" max="2" width="18.21875" style="10" customWidth="1"/>
    <col min="3" max="3" width="12.21875" style="10" customWidth="1"/>
    <col min="4" max="4" width="12.109375" style="10" customWidth="1"/>
    <col min="5" max="5" width="6.44140625" style="9" customWidth="1"/>
    <col min="6" max="6" width="9.21875" style="9" customWidth="1"/>
    <col min="7" max="7" width="10.33203125" style="10" customWidth="1"/>
    <col min="8" max="8" width="10.33203125" style="10" bestFit="1" customWidth="1"/>
    <col min="9" max="10" width="9.109375" style="9" bestFit="1" customWidth="1"/>
    <col min="11" max="11" width="6.6640625" style="9" customWidth="1"/>
    <col min="12" max="12" width="6.21875" style="9" customWidth="1"/>
    <col min="13" max="13" width="7.21875" style="9" customWidth="1"/>
    <col min="14" max="14" width="10.33203125" style="9" bestFit="1" customWidth="1"/>
    <col min="15" max="15" width="9.109375" style="9" bestFit="1" customWidth="1"/>
    <col min="16" max="16" width="8.88671875" style="9" customWidth="1"/>
    <col min="17" max="17" width="9" style="9"/>
    <col min="18" max="16384" width="9" style="10"/>
  </cols>
  <sheetData>
    <row r="1" spans="1:17" s="2" customFormat="1" ht="36" customHeight="1">
      <c r="A1" s="32" t="s">
        <v>37</v>
      </c>
      <c r="B1" s="32"/>
      <c r="C1" s="33"/>
      <c r="D1" s="33"/>
      <c r="E1" s="33"/>
      <c r="F1" s="33"/>
      <c r="G1" s="33"/>
      <c r="H1" s="33"/>
      <c r="I1" s="33"/>
      <c r="J1" s="34"/>
      <c r="K1" s="34"/>
      <c r="L1" s="32"/>
      <c r="M1" s="32"/>
      <c r="N1" s="32"/>
      <c r="O1" s="32"/>
      <c r="P1" s="1"/>
      <c r="Q1" s="1"/>
    </row>
    <row r="2" spans="1:17" ht="33" customHeight="1">
      <c r="A2" s="3" t="s">
        <v>0</v>
      </c>
      <c r="B2" s="3" t="s">
        <v>1</v>
      </c>
      <c r="C2" s="4" t="s">
        <v>32</v>
      </c>
      <c r="D2" s="5" t="s">
        <v>31</v>
      </c>
      <c r="E2" s="6" t="s">
        <v>2</v>
      </c>
      <c r="F2" s="6" t="s">
        <v>3</v>
      </c>
      <c r="G2" s="6" t="s">
        <v>4</v>
      </c>
      <c r="H2" s="6" t="s">
        <v>5</v>
      </c>
      <c r="I2" s="7" t="s">
        <v>33</v>
      </c>
      <c r="J2" s="7" t="s">
        <v>34</v>
      </c>
      <c r="K2" s="8" t="s">
        <v>35</v>
      </c>
      <c r="L2" s="8" t="s">
        <v>6</v>
      </c>
      <c r="M2" s="7" t="s">
        <v>36</v>
      </c>
      <c r="N2" s="8" t="s">
        <v>7</v>
      </c>
      <c r="O2" s="8" t="s">
        <v>8</v>
      </c>
    </row>
    <row r="3" spans="1:17" ht="22.05" customHeight="1">
      <c r="A3" s="35" t="s">
        <v>9</v>
      </c>
      <c r="B3" s="36"/>
      <c r="C3" s="13">
        <f t="shared" ref="C3:H3" si="0">SUM(C4:C5)</f>
        <v>0</v>
      </c>
      <c r="D3" s="13">
        <f t="shared" si="0"/>
        <v>0</v>
      </c>
      <c r="E3" s="11">
        <f t="shared" si="0"/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2">
        <f t="shared" ref="I3:O3" si="1">SUM(I4:I5)</f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30">
        <f t="shared" si="1"/>
        <v>0</v>
      </c>
      <c r="O3" s="30">
        <f t="shared" si="1"/>
        <v>0</v>
      </c>
    </row>
    <row r="4" spans="1:17" ht="22.05" customHeight="1">
      <c r="A4" s="8">
        <f>ROW()-3</f>
        <v>1</v>
      </c>
      <c r="B4" s="3"/>
      <c r="C4" s="13"/>
      <c r="D4" s="13">
        <f>C4-F4</f>
        <v>0</v>
      </c>
      <c r="E4" s="11"/>
      <c r="F4" s="16"/>
      <c r="G4" s="16">
        <f>C4-F4-H4</f>
        <v>0</v>
      </c>
      <c r="H4" s="16"/>
      <c r="I4" s="14"/>
      <c r="J4" s="14"/>
      <c r="K4" s="14"/>
      <c r="L4" s="14"/>
      <c r="M4" s="14"/>
      <c r="N4" s="15"/>
      <c r="O4" s="15"/>
    </row>
    <row r="5" spans="1:17" ht="22.05" customHeight="1">
      <c r="A5" s="8">
        <f t="shared" ref="A5" si="2">ROW()-3</f>
        <v>2</v>
      </c>
      <c r="B5" s="3"/>
      <c r="C5" s="13"/>
      <c r="D5" s="13">
        <f t="shared" ref="D5" si="3">C5-F5</f>
        <v>0</v>
      </c>
      <c r="E5" s="11"/>
      <c r="F5" s="16"/>
      <c r="G5" s="16">
        <f>C5-F5-H5</f>
        <v>0</v>
      </c>
      <c r="H5" s="16"/>
      <c r="I5" s="14"/>
      <c r="J5" s="14"/>
      <c r="K5" s="14"/>
      <c r="L5" s="14"/>
      <c r="M5" s="14"/>
      <c r="N5" s="15"/>
      <c r="O5" s="15"/>
    </row>
  </sheetData>
  <mergeCells count="2">
    <mergeCell ref="A1:O1"/>
    <mergeCell ref="A3:B3"/>
  </mergeCells>
  <phoneticPr fontId="10" type="noConversion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"/>
  <sheetViews>
    <sheetView workbookViewId="0">
      <pane xSplit="1" ySplit="4" topLeftCell="B5" activePane="bottomRight" state="frozen"/>
      <selection pane="topRight"/>
      <selection pane="bottomLeft"/>
      <selection pane="bottomRight" activeCell="J7" sqref="J7"/>
    </sheetView>
  </sheetViews>
  <sheetFormatPr defaultColWidth="9" defaultRowHeight="15"/>
  <cols>
    <col min="1" max="1" width="5" style="10" customWidth="1"/>
    <col min="2" max="2" width="18" style="10" customWidth="1"/>
    <col min="3" max="3" width="20.21875" style="10" customWidth="1"/>
    <col min="4" max="4" width="13.21875" style="10" customWidth="1"/>
    <col min="5" max="5" width="15.6640625" style="10" customWidth="1"/>
    <col min="6" max="6" width="4.21875" style="9" customWidth="1"/>
    <col min="7" max="7" width="6.77734375" style="9" customWidth="1"/>
    <col min="8" max="8" width="10.33203125" style="27" bestFit="1" customWidth="1"/>
    <col min="9" max="9" width="4.6640625" style="9" customWidth="1"/>
    <col min="10" max="10" width="8.6640625" style="27" customWidth="1"/>
    <col min="11" max="11" width="4.6640625" style="9" customWidth="1"/>
    <col min="12" max="12" width="8.6640625" style="27" customWidth="1"/>
    <col min="13" max="13" width="4.6640625" style="9" customWidth="1"/>
    <col min="14" max="14" width="8.6640625" style="27" customWidth="1"/>
    <col min="15" max="15" width="4.88671875" style="9" customWidth="1"/>
    <col min="16" max="16" width="8.6640625" style="27" customWidth="1"/>
    <col min="17" max="17" width="4.6640625" style="9" customWidth="1"/>
    <col min="18" max="18" width="8.6640625" style="27" customWidth="1"/>
    <col min="19" max="19" width="4.6640625" style="9" customWidth="1"/>
    <col min="20" max="20" width="9.21875" style="27" bestFit="1" customWidth="1"/>
    <col min="21" max="21" width="4.6640625" style="9" customWidth="1"/>
    <col min="22" max="22" width="8.6640625" style="27" customWidth="1"/>
    <col min="23" max="23" width="4.6640625" style="9" customWidth="1"/>
    <col min="24" max="24" width="9.21875" style="27" bestFit="1" customWidth="1"/>
    <col min="25" max="25" width="4.6640625" style="9" customWidth="1"/>
    <col min="26" max="26" width="9.21875" style="27" bestFit="1" customWidth="1"/>
    <col min="27" max="16384" width="9" style="10"/>
  </cols>
  <sheetData>
    <row r="1" spans="1:28" s="19" customFormat="1" ht="25.05" customHeight="1">
      <c r="A1" s="42" t="s">
        <v>10</v>
      </c>
      <c r="B1" s="42"/>
      <c r="C1" s="42"/>
      <c r="D1" s="42"/>
      <c r="E1" s="42"/>
      <c r="F1" s="42"/>
      <c r="G1" s="42"/>
      <c r="H1" s="43"/>
      <c r="I1" s="42"/>
      <c r="J1" s="43"/>
      <c r="K1" s="42"/>
      <c r="L1" s="43"/>
      <c r="M1" s="42"/>
      <c r="N1" s="43"/>
      <c r="O1" s="42"/>
      <c r="P1" s="43"/>
      <c r="Q1" s="42"/>
      <c r="R1" s="43"/>
      <c r="S1" s="42"/>
      <c r="T1" s="43"/>
      <c r="U1" s="42"/>
      <c r="V1" s="43"/>
      <c r="W1" s="42"/>
      <c r="X1" s="43"/>
      <c r="Y1" s="42"/>
      <c r="Z1" s="43"/>
      <c r="AA1" s="17"/>
      <c r="AB1" s="18"/>
    </row>
    <row r="2" spans="1:28" ht="19.95" customHeight="1">
      <c r="A2" s="38" t="s">
        <v>0</v>
      </c>
      <c r="B2" s="39" t="s">
        <v>11</v>
      </c>
      <c r="C2" s="40" t="s">
        <v>12</v>
      </c>
      <c r="D2" s="40" t="s">
        <v>13</v>
      </c>
      <c r="E2" s="40" t="s">
        <v>14</v>
      </c>
      <c r="F2" s="40" t="s">
        <v>15</v>
      </c>
      <c r="G2" s="44" t="s">
        <v>9</v>
      </c>
      <c r="H2" s="45"/>
      <c r="I2" s="39" t="s">
        <v>16</v>
      </c>
      <c r="J2" s="46"/>
      <c r="K2" s="39" t="s">
        <v>17</v>
      </c>
      <c r="L2" s="46"/>
      <c r="M2" s="37" t="s">
        <v>18</v>
      </c>
      <c r="N2" s="47"/>
      <c r="O2" s="37" t="s">
        <v>19</v>
      </c>
      <c r="P2" s="47"/>
      <c r="Q2" s="37" t="s">
        <v>20</v>
      </c>
      <c r="R2" s="47"/>
      <c r="S2" s="37" t="s">
        <v>21</v>
      </c>
      <c r="T2" s="47"/>
      <c r="U2" s="37" t="s">
        <v>22</v>
      </c>
      <c r="V2" s="47"/>
      <c r="W2" s="37" t="s">
        <v>23</v>
      </c>
      <c r="X2" s="47"/>
      <c r="Y2" s="39" t="s">
        <v>24</v>
      </c>
      <c r="Z2" s="46"/>
    </row>
    <row r="3" spans="1:28" ht="19.95" customHeight="1">
      <c r="A3" s="38"/>
      <c r="B3" s="39"/>
      <c r="C3" s="40"/>
      <c r="D3" s="41"/>
      <c r="E3" s="41"/>
      <c r="F3" s="41"/>
      <c r="G3" s="20" t="s">
        <v>25</v>
      </c>
      <c r="H3" s="22" t="s">
        <v>26</v>
      </c>
      <c r="I3" s="20" t="s">
        <v>27</v>
      </c>
      <c r="J3" s="23" t="s">
        <v>26</v>
      </c>
      <c r="K3" s="20" t="s">
        <v>27</v>
      </c>
      <c r="L3" s="23" t="s">
        <v>26</v>
      </c>
      <c r="M3" s="21" t="s">
        <v>27</v>
      </c>
      <c r="N3" s="24" t="s">
        <v>26</v>
      </c>
      <c r="O3" s="21" t="s">
        <v>27</v>
      </c>
      <c r="P3" s="24" t="s">
        <v>26</v>
      </c>
      <c r="Q3" s="21" t="s">
        <v>27</v>
      </c>
      <c r="R3" s="24" t="s">
        <v>26</v>
      </c>
      <c r="S3" s="21" t="s">
        <v>27</v>
      </c>
      <c r="T3" s="24" t="s">
        <v>26</v>
      </c>
      <c r="U3" s="21" t="s">
        <v>27</v>
      </c>
      <c r="V3" s="24" t="s">
        <v>26</v>
      </c>
      <c r="W3" s="21" t="s">
        <v>27</v>
      </c>
      <c r="X3" s="24" t="s">
        <v>26</v>
      </c>
      <c r="Y3" s="20" t="s">
        <v>27</v>
      </c>
      <c r="Z3" s="23" t="s">
        <v>26</v>
      </c>
    </row>
    <row r="4" spans="1:28" ht="19.95" customHeight="1">
      <c r="A4" s="37" t="s">
        <v>9</v>
      </c>
      <c r="B4" s="37"/>
      <c r="C4" s="37"/>
      <c r="D4" s="37"/>
      <c r="E4" s="37"/>
      <c r="F4" s="37"/>
      <c r="G4" s="20">
        <f t="shared" ref="G4:Z4" si="0">SUM(G5:G7)</f>
        <v>0</v>
      </c>
      <c r="H4" s="22">
        <f t="shared" si="0"/>
        <v>0</v>
      </c>
      <c r="I4" s="20">
        <f t="shared" si="0"/>
        <v>0</v>
      </c>
      <c r="J4" s="23">
        <f t="shared" si="0"/>
        <v>0</v>
      </c>
      <c r="K4" s="20">
        <f t="shared" si="0"/>
        <v>0</v>
      </c>
      <c r="L4" s="23">
        <f t="shared" si="0"/>
        <v>0</v>
      </c>
      <c r="M4" s="20">
        <f t="shared" si="0"/>
        <v>0</v>
      </c>
      <c r="N4" s="23">
        <f t="shared" si="0"/>
        <v>0</v>
      </c>
      <c r="O4" s="20">
        <f t="shared" si="0"/>
        <v>0</v>
      </c>
      <c r="P4" s="23">
        <f t="shared" si="0"/>
        <v>0</v>
      </c>
      <c r="Q4" s="20">
        <f t="shared" si="0"/>
        <v>0</v>
      </c>
      <c r="R4" s="23">
        <f t="shared" si="0"/>
        <v>0</v>
      </c>
      <c r="S4" s="20">
        <f t="shared" si="0"/>
        <v>0</v>
      </c>
      <c r="T4" s="23">
        <f t="shared" si="0"/>
        <v>0</v>
      </c>
      <c r="U4" s="20">
        <f t="shared" si="0"/>
        <v>0</v>
      </c>
      <c r="V4" s="23">
        <f t="shared" si="0"/>
        <v>0</v>
      </c>
      <c r="W4" s="20">
        <f t="shared" si="0"/>
        <v>0</v>
      </c>
      <c r="X4" s="23">
        <f t="shared" si="0"/>
        <v>0</v>
      </c>
      <c r="Y4" s="20">
        <f t="shared" si="0"/>
        <v>0</v>
      </c>
      <c r="Z4" s="23">
        <f t="shared" si="0"/>
        <v>0</v>
      </c>
    </row>
    <row r="5" spans="1:28" ht="19.95" customHeight="1">
      <c r="A5" s="8">
        <f>ROW()-4</f>
        <v>1</v>
      </c>
      <c r="B5" s="3"/>
      <c r="C5" s="3"/>
      <c r="D5" s="3"/>
      <c r="E5" s="3"/>
      <c r="F5" s="8"/>
      <c r="G5" s="8">
        <f t="shared" ref="G5:H7" si="1">SUM(I5,K5,M5,O5,Q5,S5,U5,W5,Y5)</f>
        <v>0</v>
      </c>
      <c r="H5" s="31">
        <f t="shared" si="1"/>
        <v>0</v>
      </c>
      <c r="I5" s="8"/>
      <c r="J5" s="25"/>
      <c r="K5" s="8"/>
      <c r="L5" s="25"/>
      <c r="M5" s="8"/>
      <c r="N5" s="25"/>
      <c r="O5" s="8"/>
      <c r="P5" s="25"/>
      <c r="Q5" s="8"/>
      <c r="R5" s="25"/>
      <c r="S5" s="8"/>
      <c r="T5" s="25"/>
      <c r="U5" s="8"/>
      <c r="V5" s="25"/>
      <c r="W5" s="8"/>
      <c r="X5" s="25"/>
      <c r="Y5" s="8"/>
      <c r="Z5" s="25"/>
    </row>
    <row r="6" spans="1:28" ht="19.95" customHeight="1">
      <c r="A6" s="8">
        <f t="shared" ref="A6" si="2">ROW()-4</f>
        <v>2</v>
      </c>
      <c r="B6" s="3"/>
      <c r="C6" s="26"/>
      <c r="D6" s="3"/>
      <c r="E6" s="3"/>
      <c r="F6" s="8"/>
      <c r="G6" s="8">
        <f t="shared" si="1"/>
        <v>0</v>
      </c>
      <c r="H6" s="31">
        <f t="shared" si="1"/>
        <v>0</v>
      </c>
      <c r="I6" s="8"/>
      <c r="J6" s="25"/>
      <c r="K6" s="8"/>
      <c r="L6" s="25"/>
      <c r="M6" s="8"/>
      <c r="N6" s="25"/>
      <c r="O6" s="8"/>
      <c r="P6" s="25"/>
      <c r="Q6" s="8"/>
      <c r="R6" s="25"/>
      <c r="S6" s="8"/>
      <c r="T6" s="25"/>
      <c r="U6" s="8"/>
      <c r="V6" s="25"/>
      <c r="W6" s="8"/>
      <c r="X6" s="25"/>
      <c r="Y6" s="8"/>
      <c r="Z6" s="25"/>
    </row>
    <row r="7" spans="1:28" ht="19.95" customHeight="1">
      <c r="A7" s="8">
        <f t="shared" ref="A7" si="3">ROW()-4</f>
        <v>3</v>
      </c>
      <c r="B7" s="3"/>
      <c r="C7" s="3"/>
      <c r="D7" s="3"/>
      <c r="E7" s="3"/>
      <c r="F7" s="8"/>
      <c r="G7" s="8">
        <f t="shared" si="1"/>
        <v>0</v>
      </c>
      <c r="H7" s="31">
        <f t="shared" si="1"/>
        <v>0</v>
      </c>
      <c r="I7" s="8"/>
      <c r="J7" s="25"/>
      <c r="K7" s="8"/>
      <c r="L7" s="25"/>
      <c r="M7" s="8"/>
      <c r="N7" s="25"/>
      <c r="O7" s="8"/>
      <c r="P7" s="25"/>
      <c r="Q7" s="8"/>
      <c r="R7" s="25"/>
      <c r="S7" s="8"/>
      <c r="T7" s="25"/>
      <c r="U7" s="8"/>
      <c r="V7" s="25"/>
      <c r="W7" s="8"/>
      <c r="X7" s="25"/>
      <c r="Y7" s="8"/>
      <c r="Z7" s="25"/>
    </row>
  </sheetData>
  <mergeCells count="18">
    <mergeCell ref="A1:Z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4:F4"/>
    <mergeCell ref="A2:A3"/>
    <mergeCell ref="B2:B3"/>
    <mergeCell ref="C2:C3"/>
    <mergeCell ref="D2:D3"/>
    <mergeCell ref="E2:E3"/>
    <mergeCell ref="F2:F3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H6" sqref="H6"/>
    </sheetView>
  </sheetViews>
  <sheetFormatPr defaultColWidth="9" defaultRowHeight="15"/>
  <cols>
    <col min="1" max="1" width="5" style="10" customWidth="1"/>
    <col min="2" max="2" width="18" style="10" customWidth="1"/>
    <col min="3" max="3" width="21.109375" style="10" customWidth="1"/>
    <col min="4" max="4" width="13.21875" style="10" customWidth="1"/>
    <col min="5" max="5" width="15.6640625" style="10" customWidth="1"/>
    <col min="6" max="6" width="4.21875" style="9" customWidth="1"/>
    <col min="7" max="7" width="8.6640625" style="9" customWidth="1"/>
    <col min="8" max="8" width="10.109375" style="27" customWidth="1"/>
    <col min="9" max="16384" width="9" style="10"/>
  </cols>
  <sheetData>
    <row r="1" spans="1:8" ht="24" customHeight="1">
      <c r="A1" s="42" t="s">
        <v>28</v>
      </c>
      <c r="B1" s="42"/>
      <c r="C1" s="42"/>
      <c r="D1" s="42"/>
      <c r="E1" s="42"/>
      <c r="F1" s="42"/>
      <c r="G1" s="42"/>
      <c r="H1" s="43"/>
    </row>
    <row r="2" spans="1:8" ht="19.95" customHeight="1">
      <c r="A2" s="3" t="s">
        <v>0</v>
      </c>
      <c r="B2" s="28" t="s">
        <v>11</v>
      </c>
      <c r="C2" s="28" t="s">
        <v>12</v>
      </c>
      <c r="D2" s="28" t="s">
        <v>13</v>
      </c>
      <c r="E2" s="28" t="s">
        <v>14</v>
      </c>
      <c r="F2" s="20" t="s">
        <v>15</v>
      </c>
      <c r="G2" s="20" t="s">
        <v>29</v>
      </c>
      <c r="H2" s="22" t="s">
        <v>30</v>
      </c>
    </row>
    <row r="3" spans="1:8" ht="19.95" customHeight="1">
      <c r="A3" s="37" t="s">
        <v>9</v>
      </c>
      <c r="B3" s="37"/>
      <c r="C3" s="37"/>
      <c r="D3" s="37"/>
      <c r="E3" s="37"/>
      <c r="F3" s="37"/>
      <c r="G3" s="20">
        <f>SUM(G4:G6)</f>
        <v>0</v>
      </c>
      <c r="H3" s="22">
        <f>SUM(H4:H6)</f>
        <v>0</v>
      </c>
    </row>
    <row r="4" spans="1:8" ht="19.95" customHeight="1">
      <c r="A4" s="8">
        <f>ROW()-3</f>
        <v>1</v>
      </c>
      <c r="B4" s="3"/>
      <c r="C4" s="3"/>
      <c r="D4" s="3"/>
      <c r="E4" s="3"/>
      <c r="F4" s="8"/>
      <c r="G4" s="8"/>
      <c r="H4" s="29"/>
    </row>
    <row r="5" spans="1:8" ht="19.95" customHeight="1">
      <c r="A5" s="8">
        <f t="shared" ref="A5:A6" si="0">ROW()-3</f>
        <v>2</v>
      </c>
      <c r="B5" s="3"/>
      <c r="C5" s="3"/>
      <c r="D5" s="3"/>
      <c r="E5" s="3"/>
      <c r="F5" s="8"/>
      <c r="G5" s="8"/>
      <c r="H5" s="29"/>
    </row>
    <row r="6" spans="1:8" ht="19.95" customHeight="1">
      <c r="A6" s="8">
        <f t="shared" si="0"/>
        <v>3</v>
      </c>
      <c r="B6" s="3"/>
      <c r="C6" s="3"/>
      <c r="D6" s="3"/>
      <c r="E6" s="3"/>
      <c r="F6" s="8"/>
      <c r="G6" s="8"/>
      <c r="H6" s="29"/>
    </row>
  </sheetData>
  <sortState xmlns:xlrd2="http://schemas.microsoft.com/office/spreadsheetml/2017/richdata2" ref="A3:H7">
    <sortCondition descending="1" ref="H3"/>
  </sortState>
  <mergeCells count="2">
    <mergeCell ref="A1:H1"/>
    <mergeCell ref="A3:F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配送门店业绩表 5.25-5.31</vt:lpstr>
      <vt:lpstr>送门店货品对比表及各商品大类销售排行表 5.25-5.31</vt:lpstr>
      <vt:lpstr>送门店货品销售排行表 5.25-5.31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cp:lastPrinted>2026-06-04T03:18:10Z</cp:lastPrinted>
  <dcterms:created xsi:type="dcterms:W3CDTF">2026-05-31T22:25:00Z</dcterms:created>
  <dcterms:modified xsi:type="dcterms:W3CDTF">2026-06-05T10:59:44Z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7E7ADE1FF7BE4A71B2CA8A45B1BDB6F3_13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