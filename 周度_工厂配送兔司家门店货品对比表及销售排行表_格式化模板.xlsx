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F3824D5C-D214-4227-9C40-6BA71B92CD0C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配送门店业绩表 5.25-5.31" sheetId="4" r:id="rId1"/>
    <sheet name="送门店货品对比表及各商品大类销售排行表 5.25-5.31" sheetId="3" r:id="rId2"/>
    <sheet name="送门店货品销售排行表 5.25-5.31" sheetId="1" r:id="rId3"/>
  </sheets>
  <calcPr calcId="191029"/>
</workbook>
</file>

<file path=xl/calcChain.xml><?xml version="1.0" encoding="utf-8"?>
<calcChain xmlns="http://schemas.openxmlformats.org/spreadsheetml/2006/main">
  <c r="H7" i="3" l="1"/>
  <c r="H6" i="3"/>
  <c r="H5" i="3"/>
  <c r="G7" i="3"/>
  <c r="G6" i="3"/>
  <c r="G5" i="3"/>
  <c r="G5" i="4"/>
  <c r="G4" i="4"/>
  <c r="H3" i="4"/>
  <c r="O3" i="4"/>
  <c r="L3" i="4"/>
  <c r="J3" i="4"/>
  <c r="N3" i="4"/>
  <c r="M3" i="4"/>
  <c r="K3" i="4"/>
  <c r="I3" i="4"/>
  <c r="C3" i="4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H3" i="1"/>
  <c r="G3" i="1"/>
  <c r="A7" i="3"/>
  <c r="A6" i="3"/>
  <c r="A5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D5" i="4"/>
  <c r="A5" i="4"/>
  <c r="D4" i="4"/>
  <c r="A4" i="4"/>
  <c r="F3" i="4"/>
  <c r="E3" i="4"/>
  <c r="D3" i="4"/>
  <c r="H4" i="3" l="1"/>
  <c r="G4" i="3"/>
  <c r="G3" i="4"/>
</calcChain>
</file>

<file path=xl/sharedStrings.xml><?xml version="1.0" encoding="utf-8"?>
<sst xmlns="http://schemas.openxmlformats.org/spreadsheetml/2006/main" count="610" uniqueCount="267">
  <si>
    <t>序号</t>
  </si>
  <si>
    <t>大客户名称</t>
  </si>
  <si>
    <t>配送
次数</t>
  </si>
  <si>
    <t>运费
金额</t>
  </si>
  <si>
    <t>外购品
金额</t>
  </si>
  <si>
    <t>自产品
金额</t>
  </si>
  <si>
    <t>退货量</t>
  </si>
  <si>
    <t>出库金额</t>
  </si>
  <si>
    <t>退货金额</t>
  </si>
  <si>
    <t>合计</t>
  </si>
  <si>
    <t>2026年5月25日至5月31日工厂配送兔司家门店货品对比表及各商品大类销售排行表</t>
  </si>
  <si>
    <t>商品名称</t>
  </si>
  <si>
    <t>商品大类</t>
  </si>
  <si>
    <t>商品分类</t>
  </si>
  <si>
    <t>规格</t>
  </si>
  <si>
    <t>单位</t>
  </si>
  <si>
    <t>滨江店</t>
  </si>
  <si>
    <t>广钢店</t>
  </si>
  <si>
    <t>禾仰</t>
  </si>
  <si>
    <t>信步</t>
  </si>
  <si>
    <t>圣堡</t>
  </si>
  <si>
    <t>广园</t>
  </si>
  <si>
    <t>尚城店</t>
  </si>
  <si>
    <t>莞寮厦店</t>
  </si>
  <si>
    <t>南安市场</t>
  </si>
  <si>
    <t>数量</t>
  </si>
  <si>
    <t>销售额</t>
  </si>
  <si>
    <t>销量</t>
  </si>
  <si>
    <t>冷链运费(拍后发货)</t>
  </si>
  <si>
    <t>配送费</t>
  </si>
  <si>
    <t>按趟收费</t>
  </si>
  <si>
    <t>趟</t>
  </si>
  <si>
    <t>生乳手撕包面团</t>
  </si>
  <si>
    <t>冷冻面团</t>
  </si>
  <si>
    <t>约190g/个 24个/包</t>
  </si>
  <si>
    <t>个</t>
  </si>
  <si>
    <t>丹麦鲜奶吐司</t>
  </si>
  <si>
    <t>面团吐司类</t>
  </si>
  <si>
    <t>约500g/个*6个/包</t>
  </si>
  <si>
    <t>包</t>
  </si>
  <si>
    <t>可颂牛角包面团</t>
  </si>
  <si>
    <t>约70g/个 24个/包</t>
  </si>
  <si>
    <t>55g甜面团</t>
  </si>
  <si>
    <t>约55g/个 36个/包</t>
  </si>
  <si>
    <t>咸方包</t>
  </si>
  <si>
    <t>面团包装类</t>
  </si>
  <si>
    <t>约1200g/条*2条/包</t>
  </si>
  <si>
    <t>提子方包</t>
  </si>
  <si>
    <t>定制80g甜面团</t>
  </si>
  <si>
    <t>面团定制款类</t>
  </si>
  <si>
    <t>约80g/个*24个/包</t>
  </si>
  <si>
    <t>脏脏包面团(新)</t>
  </si>
  <si>
    <t>约145g/个 20个/包</t>
  </si>
  <si>
    <t>手撕包</t>
  </si>
  <si>
    <t>面团丹麦类</t>
  </si>
  <si>
    <t>约200g/个*24个/包</t>
  </si>
  <si>
    <t>丹麦肉松吐司</t>
  </si>
  <si>
    <t>约550g/个*6个/包</t>
  </si>
  <si>
    <t>核桃马里奥面团</t>
  </si>
  <si>
    <t>约120g/个 24个/包</t>
  </si>
  <si>
    <t>菠萝包</t>
  </si>
  <si>
    <t>约60g/个*42个/包</t>
  </si>
  <si>
    <t>千层生乳吐司</t>
  </si>
  <si>
    <t>约250g/个*12个/包</t>
  </si>
  <si>
    <t>红豆菠萝包</t>
  </si>
  <si>
    <t>面团现烤类</t>
  </si>
  <si>
    <t>美式鸡蛋烤肠</t>
  </si>
  <si>
    <t>约60g*18个/包</t>
  </si>
  <si>
    <t>南瓜手撕吐司</t>
  </si>
  <si>
    <t>维佳牛角包</t>
  </si>
  <si>
    <t>约25g/个*60个/包</t>
  </si>
  <si>
    <t>桑葚莓莓软欧面团</t>
  </si>
  <si>
    <t>约250g/个 12个/包</t>
  </si>
  <si>
    <t>菠萝皮</t>
  </si>
  <si>
    <t>约7400g/袋</t>
  </si>
  <si>
    <t>袋</t>
  </si>
  <si>
    <t>全麦方包</t>
  </si>
  <si>
    <t>全麦核桃提子</t>
  </si>
  <si>
    <t>约600g/个*4个/包</t>
  </si>
  <si>
    <t>南瓜餐包</t>
  </si>
  <si>
    <t>约30g/个*48个/包</t>
  </si>
  <si>
    <t>一口肠</t>
  </si>
  <si>
    <t>约40g/个*30个/包</t>
  </si>
  <si>
    <t>黑裸麦</t>
  </si>
  <si>
    <t>台湾脆皮肠</t>
  </si>
  <si>
    <t>约80g/个*12个/包</t>
  </si>
  <si>
    <t>台式奶酥菠萝包面团</t>
  </si>
  <si>
    <t>约70g/个*24个/包</t>
  </si>
  <si>
    <t>红豆松松面团</t>
  </si>
  <si>
    <t>约60g/个 32个/包</t>
  </si>
  <si>
    <t>香甜椰汁包</t>
  </si>
  <si>
    <t>约60g/个*24个/包</t>
  </si>
  <si>
    <t>奥利奥奶酥</t>
  </si>
  <si>
    <t>黑椒腿排绿蔬吐司</t>
  </si>
  <si>
    <t>约120g/个 16个/包</t>
  </si>
  <si>
    <t>黄金小蜜蜂</t>
  </si>
  <si>
    <t>约30g/个*60个/包</t>
  </si>
  <si>
    <t>小号新西兰奶昔</t>
  </si>
  <si>
    <t>菠萝皮黄油</t>
  </si>
  <si>
    <t>约2500g/袋</t>
  </si>
  <si>
    <t>丹麦披萨</t>
  </si>
  <si>
    <t>约60g/个*20个/包</t>
  </si>
  <si>
    <t>芝士脆鸡排包(须另拍原料脆脆鸡排)</t>
  </si>
  <si>
    <t>约60g*12个/包</t>
  </si>
  <si>
    <t>切达吉士包</t>
  </si>
  <si>
    <t>约60g/个*12个/包</t>
  </si>
  <si>
    <t>40g甜面团</t>
  </si>
  <si>
    <t>约40g/个 48个/包</t>
  </si>
  <si>
    <t>肉松包</t>
  </si>
  <si>
    <t>红豆沙吐司面团</t>
  </si>
  <si>
    <t>约250g*12个/包</t>
  </si>
  <si>
    <t>奶酪包</t>
  </si>
  <si>
    <t>德式肠仔包</t>
  </si>
  <si>
    <t>提子吐司面团</t>
  </si>
  <si>
    <t>约280g/个</t>
  </si>
  <si>
    <t>奶香提子棒</t>
  </si>
  <si>
    <t>全麦核桃提子吐司</t>
  </si>
  <si>
    <t>全麦芋泥咸蛋黄软欧</t>
  </si>
  <si>
    <t>约80g/个*18个/包</t>
  </si>
  <si>
    <t>红豆吐司(须另拍盒子)</t>
  </si>
  <si>
    <t>约200g*6个/包</t>
  </si>
  <si>
    <t>甜蜜蜜豆</t>
  </si>
  <si>
    <t>蔓越莓核桃面包</t>
  </si>
  <si>
    <t>约175g/个*8个/包</t>
  </si>
  <si>
    <t>芝士肠仔</t>
  </si>
  <si>
    <t>现烤南瓜包</t>
  </si>
  <si>
    <t>椰汁包</t>
  </si>
  <si>
    <t>泡芙(须自加工内陷)</t>
  </si>
  <si>
    <t>蛋糕及面包成品及饼干类</t>
  </si>
  <si>
    <t>成品面包类</t>
  </si>
  <si>
    <t>生浆约32g/个</t>
  </si>
  <si>
    <t>原味虎皮卷</t>
  </si>
  <si>
    <t>蛋糕类</t>
  </si>
  <si>
    <t>5块/盒</t>
  </si>
  <si>
    <t>盒</t>
  </si>
  <si>
    <t>奥利奥蛋糕卷</t>
  </si>
  <si>
    <t>香格里拉</t>
  </si>
  <si>
    <t>4块/盒</t>
  </si>
  <si>
    <t>瑞士蛋糕卷/兔司家</t>
  </si>
  <si>
    <t>芝士奶角</t>
  </si>
  <si>
    <t>4个/盒</t>
  </si>
  <si>
    <t>紫菜卷</t>
  </si>
  <si>
    <t>芋泥雪贝</t>
  </si>
  <si>
    <t>海盐蛋糕</t>
  </si>
  <si>
    <t>1个/盒</t>
  </si>
  <si>
    <t>蟹小芳</t>
  </si>
  <si>
    <t>3块/盒</t>
  </si>
  <si>
    <t>酸奶餐包</t>
  </si>
  <si>
    <t>5个/盒</t>
  </si>
  <si>
    <t>彩虹桶mini马卡龙</t>
  </si>
  <si>
    <t>慕斯+饼干+饮品+其他</t>
  </si>
  <si>
    <t>慕斯类/外</t>
  </si>
  <si>
    <t>11粒/桶 48桶/箱</t>
  </si>
  <si>
    <t>桶</t>
  </si>
  <si>
    <t>嚼养冰酸奶草莓味</t>
  </si>
  <si>
    <t>饮品类/外</t>
  </si>
  <si>
    <t>16杯/件  300g/杯</t>
  </si>
  <si>
    <t>杯</t>
  </si>
  <si>
    <t>初饮100%青提葡萄汁</t>
  </si>
  <si>
    <t>265ml  20瓶/件</t>
  </si>
  <si>
    <t>瓶</t>
  </si>
  <si>
    <t>73挞皮</t>
  </si>
  <si>
    <t>原料铺料</t>
  </si>
  <si>
    <t>热销类</t>
  </si>
  <si>
    <t>1件*12袋*24个</t>
  </si>
  <si>
    <t>件</t>
  </si>
  <si>
    <t>纽焙客奶油</t>
  </si>
  <si>
    <t>常温馅料类</t>
  </si>
  <si>
    <t>1件*12盒*1L</t>
  </si>
  <si>
    <t>带皮三路核桃(生)</t>
  </si>
  <si>
    <t>干果类</t>
  </si>
  <si>
    <t>5斤/包 5包/件</t>
  </si>
  <si>
    <t>斤</t>
  </si>
  <si>
    <t>鸡蛋液</t>
  </si>
  <si>
    <t>1件*30袋*400g</t>
  </si>
  <si>
    <t>脱皮三路核桃(生)</t>
  </si>
  <si>
    <t>500g/包 24包/件</t>
  </si>
  <si>
    <t>兔司家专版葡挞液</t>
  </si>
  <si>
    <t>12瓶/件*907g</t>
  </si>
  <si>
    <t>起酥老婆饼</t>
  </si>
  <si>
    <t>6个*14层/224个</t>
  </si>
  <si>
    <t>火山石烤肠(60g)</t>
  </si>
  <si>
    <t>冷冻肉类</t>
  </si>
  <si>
    <t>3kg  4包/箱</t>
  </si>
  <si>
    <t>香蒜鸡腿块(台宏)</t>
  </si>
  <si>
    <t>1kg*12包/件 20根/包</t>
  </si>
  <si>
    <t>脆皮泡芙</t>
  </si>
  <si>
    <t>150个/件 10g/个</t>
  </si>
  <si>
    <t>兔司家迷你葡挞皇</t>
  </si>
  <si>
    <t>450个/件 14g/个</t>
  </si>
  <si>
    <t>蓝彪原味甜甜圈</t>
  </si>
  <si>
    <t>15个/袋*5袋</t>
  </si>
  <si>
    <t>台湾热狗肠/原料</t>
  </si>
  <si>
    <t>500g/包*20包/件</t>
  </si>
  <si>
    <t>原味肉松(味斯美)</t>
  </si>
  <si>
    <t>1KG*10包/箱</t>
  </si>
  <si>
    <t>兔司家手工葡挞皇</t>
  </si>
  <si>
    <t>240个*25-28g/个</t>
  </si>
  <si>
    <t>兔司家红豆饼</t>
  </si>
  <si>
    <t>260个/件39g/个</t>
  </si>
  <si>
    <t>蕾芝音卡士原味</t>
  </si>
  <si>
    <t>冷藏馅料类</t>
  </si>
  <si>
    <t>1kg/条 6条/件</t>
  </si>
  <si>
    <t>条</t>
  </si>
  <si>
    <t>安佳超高温搅打稀奶油</t>
  </si>
  <si>
    <t>12*1L/箱</t>
  </si>
  <si>
    <t>朱师傅柴鱼片</t>
  </si>
  <si>
    <t>200g*12盒</t>
  </si>
  <si>
    <t>松彦108麻薯预拌粉</t>
  </si>
  <si>
    <t>粉类</t>
  </si>
  <si>
    <t>5KG*4包/箱</t>
  </si>
  <si>
    <t>焙可芯香草卡仕达</t>
  </si>
  <si>
    <t>火腿片</t>
  </si>
  <si>
    <t>2kg/包*10包/件</t>
  </si>
  <si>
    <t>大成烘焙脆鸡排</t>
  </si>
  <si>
    <t>1kg*10/件</t>
  </si>
  <si>
    <t>美拉德脱膜油</t>
  </si>
  <si>
    <t>油脂类</t>
  </si>
  <si>
    <t>600ml/瓶</t>
  </si>
  <si>
    <t>新西兰奶粉</t>
  </si>
  <si>
    <t>50斤/包</t>
  </si>
  <si>
    <t>1kg海苔脆肉松</t>
  </si>
  <si>
    <t>1kg*10包/件</t>
  </si>
  <si>
    <t>酸甜调味裙带菜</t>
  </si>
  <si>
    <t>冷冻馅料类</t>
  </si>
  <si>
    <t>400g/包</t>
  </si>
  <si>
    <t>蕾芝音耐烘烤咸蛋黄馅</t>
  </si>
  <si>
    <t>1kg*6包/件</t>
  </si>
  <si>
    <t>西点奶油夹心(奶酪味)</t>
  </si>
  <si>
    <t>1kg*6条</t>
  </si>
  <si>
    <t>白糖(粗)</t>
  </si>
  <si>
    <t>糖类</t>
  </si>
  <si>
    <t>100斤/包</t>
  </si>
  <si>
    <t>百利番茄沙司</t>
  </si>
  <si>
    <t>3kg*6罐</t>
  </si>
  <si>
    <t>罐</t>
  </si>
  <si>
    <t>奥利奥饼干碎</t>
  </si>
  <si>
    <t>400g/包*24包</t>
  </si>
  <si>
    <t>地豪甜玉米粒</t>
  </si>
  <si>
    <t>425g*24罐</t>
  </si>
  <si>
    <t>兔司家大号吐司内袋</t>
  </si>
  <si>
    <t>包材耗材</t>
  </si>
  <si>
    <t>专版包材类</t>
  </si>
  <si>
    <t>50个/扎 20扎/件</t>
  </si>
  <si>
    <t>扎</t>
  </si>
  <si>
    <t>兔司家大手提袋</t>
  </si>
  <si>
    <t>100个/扎 20扎/件</t>
  </si>
  <si>
    <t>一次性手套</t>
  </si>
  <si>
    <t>公版包材类</t>
  </si>
  <si>
    <t>10盒/件</t>
  </si>
  <si>
    <t>兔司家小手提袋</t>
  </si>
  <si>
    <t>100个/扎45扎/件</t>
  </si>
  <si>
    <t>船形淋膜杯</t>
  </si>
  <si>
    <t>200个/条   20条/件</t>
  </si>
  <si>
    <t>圆形淋膜杯</t>
  </si>
  <si>
    <t>加厚大号裱花袋</t>
  </si>
  <si>
    <t>100个/包  
长约38cm</t>
  </si>
  <si>
    <t>2026年5月25日至5月31日工厂配送兔司家门店货品销售排行表</t>
  </si>
  <si>
    <t>合计数量</t>
  </si>
  <si>
    <t>合计销售额</t>
  </si>
  <si>
    <r>
      <t>实际出库金额
/</t>
    </r>
    <r>
      <rPr>
        <b/>
        <sz val="10"/>
        <color rgb="FFFF0000"/>
        <rFont val="微软雅黑"/>
        <family val="2"/>
        <charset val="134"/>
      </rPr>
      <t>不含</t>
    </r>
    <r>
      <rPr>
        <b/>
        <sz val="10"/>
        <color rgb="FF000000"/>
        <rFont val="微软雅黑"/>
        <family val="2"/>
        <charset val="134"/>
      </rPr>
      <t>运费</t>
    </r>
  </si>
  <si>
    <t>实际出库金额
/含运费</t>
    <phoneticPr fontId="13" type="noConversion"/>
  </si>
  <si>
    <t>销售
出库单数</t>
    <phoneticPr fontId="13" type="noConversion"/>
  </si>
  <si>
    <t>销售
退货单数</t>
    <phoneticPr fontId="13" type="noConversion"/>
  </si>
  <si>
    <t>出库量</t>
    <phoneticPr fontId="13" type="noConversion"/>
  </si>
  <si>
    <t>实际
出库量</t>
    <phoneticPr fontId="13" type="noConversion"/>
  </si>
  <si>
    <r>
      <t xml:space="preserve">2026年5月25日至5月31日工厂配送兔司家门店货款统计表
</t>
    </r>
    <r>
      <rPr>
        <b/>
        <sz val="11"/>
        <color rgb="FF000000"/>
        <rFont val="微软雅黑"/>
        <family val="2"/>
        <charset val="134"/>
      </rPr>
      <t>（按客户维度+货品类别维度统计）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</si>
</sst>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17">
    <font>
      <sz val="11"/>
      <color indexed="8"/>
      <name val="宋体"/>
      <charset val="134"/>
      <scheme val="minor"/>
    </font>
    <font>
      <sz val="10"/>
      <color indexed="8"/>
      <name val="宋体"/>
      <family val="3"/>
      <charset val="134"/>
    </font>
    <font>
      <b/>
      <sz val="14"/>
      <color indexed="8"/>
      <name val="宋体"/>
      <family val="3"/>
      <charset val="134"/>
    </font>
    <font>
      <sz val="10"/>
      <name val="宋体"/>
      <family val="3"/>
      <charset val="134"/>
    </font>
    <font>
      <b/>
      <sz val="16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b/>
      <sz val="16"/>
      <name val="微软雅黑"/>
      <family val="2"/>
      <charset val="134"/>
    </font>
    <font>
      <b/>
      <sz val="16"/>
      <color indexed="8"/>
      <name val="微软雅黑"/>
      <family val="2"/>
      <charset val="134"/>
    </font>
    <font>
      <sz val="10"/>
      <color indexed="8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b/>
      <sz val="1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indexed="8"/>
      <name val="微软雅黑"/>
      <family val="2"/>
      <charset val="134"/>
    </font>
    <font>
      <sz val="14"/>
      <color indexed="8"/>
      <name val="微软雅黑"/>
      <family val="2"/>
      <charset val="134"/>
    </font>
    <font>
      <sz val="1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1" xfId="0" applyFont="1" applyBorder="1">
      <alignment vertical="center"/>
    </xf>
    <xf numFmtId="176" fontId="9" fillId="2" borderId="1" xfId="0" applyNumberFormat="1" applyFont="1" applyFill="1" applyBorder="1" applyAlignment="1">
      <alignment horizontal="center" vertical="center" wrapText="1"/>
    </xf>
    <xf numFmtId="176" fontId="10" fillId="2" borderId="1" xfId="0" applyNumberFormat="1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8" fillId="2" borderId="1" xfId="0" applyFont="1" applyFill="1" applyBorder="1" applyAlignment="1">
      <alignment horizontal="right" vertical="center"/>
    </xf>
    <xf numFmtId="0" fontId="8" fillId="3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176" fontId="8" fillId="2" borderId="1" xfId="0" applyNumberFormat="1" applyFont="1" applyFill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176" fontId="8" fillId="0" borderId="1" xfId="0" applyNumberFormat="1" applyFont="1" applyBorder="1" applyAlignment="1">
      <alignment horizontal="right" vertical="center"/>
    </xf>
    <xf numFmtId="176" fontId="8" fillId="3" borderId="1" xfId="0" applyNumberFormat="1" applyFont="1" applyFill="1" applyBorder="1" applyAlignment="1">
      <alignment horizontal="right" vertical="center"/>
    </xf>
    <xf numFmtId="0" fontId="14" fillId="0" borderId="0" xfId="0" applyFont="1">
      <alignment vertical="center"/>
    </xf>
    <xf numFmtId="176" fontId="14" fillId="0" borderId="0" xfId="0" applyNumberFormat="1" applyFont="1">
      <alignment vertical="center"/>
    </xf>
    <xf numFmtId="0" fontId="15" fillId="0" borderId="0" xfId="0" applyFont="1">
      <alignment vertical="center"/>
    </xf>
    <xf numFmtId="0" fontId="16" fillId="0" borderId="1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6" fillId="3" borderId="1" xfId="0" applyNumberFormat="1" applyFont="1" applyFill="1" applyBorder="1" applyAlignment="1">
      <alignment horizontal="center" vertical="center"/>
    </xf>
    <xf numFmtId="176" fontId="16" fillId="3" borderId="7" xfId="0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0" fontId="8" fillId="0" borderId="7" xfId="0" applyFont="1" applyBorder="1">
      <alignment vertical="center"/>
    </xf>
    <xf numFmtId="176" fontId="8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76" fontId="16" fillId="0" borderId="5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176" fontId="16" fillId="0" borderId="6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76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6" fontId="4" fillId="0" borderId="0" xfId="0" applyNumberFormat="1" applyFont="1" applyAlignment="1">
      <alignment horizontal="center" vertical="center" wrapText="1"/>
    </xf>
    <xf numFmtId="176" fontId="6" fillId="0" borderId="0" xfId="0" applyNumberFormat="1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"/>
  <sheetViews>
    <sheetView tabSelected="1" workbookViewId="0">
      <selection activeCell="E4" sqref="E4"/>
    </sheetView>
  </sheetViews>
  <sheetFormatPr defaultColWidth="9" defaultRowHeight="19.95" customHeight="1"/>
  <cols>
    <col min="1" max="1" width="4.109375" style="19" customWidth="1"/>
    <col min="2" max="2" width="18.21875" style="19" customWidth="1"/>
    <col min="3" max="3" width="12.21875" style="19" customWidth="1"/>
    <col min="4" max="4" width="12.109375" style="19" customWidth="1"/>
    <col min="5" max="6" width="6.44140625" style="18" customWidth="1"/>
    <col min="7" max="7" width="9.21875" style="19" customWidth="1"/>
    <col min="8" max="8" width="10.33203125" style="19" bestFit="1" customWidth="1"/>
    <col min="9" max="10" width="9.109375" style="18" bestFit="1" customWidth="1"/>
    <col min="11" max="11" width="6.6640625" style="18" customWidth="1"/>
    <col min="12" max="12" width="6.21875" style="18" customWidth="1"/>
    <col min="13" max="13" width="7.21875" style="18" customWidth="1"/>
    <col min="14" max="14" width="10.33203125" style="18" bestFit="1" customWidth="1"/>
    <col min="15" max="15" width="9.109375" style="18" bestFit="1" customWidth="1"/>
    <col min="16" max="16" width="8.88671875" style="18" customWidth="1"/>
    <col min="17" max="17" width="9" style="18"/>
    <col min="18" max="16384" width="9" style="19"/>
  </cols>
  <sheetData>
    <row r="1" spans="1:17" s="11" customFormat="1" ht="36" customHeight="1">
      <c r="A1" s="50" t="s">
        <v>266</v>
      </c>
      <c r="B1" s="50"/>
      <c r="C1" s="51"/>
      <c r="D1" s="51"/>
      <c r="E1" s="51"/>
      <c r="F1" s="51"/>
      <c r="G1" s="51"/>
      <c r="H1" s="51"/>
      <c r="I1" s="51"/>
      <c r="J1" s="52"/>
      <c r="K1" s="52"/>
      <c r="L1" s="50"/>
      <c r="M1" s="50"/>
      <c r="N1" s="50"/>
      <c r="O1" s="50"/>
      <c r="P1" s="10"/>
      <c r="Q1" s="10"/>
    </row>
    <row r="2" spans="1:17" ht="33" customHeight="1">
      <c r="A2" s="12" t="s">
        <v>0</v>
      </c>
      <c r="B2" s="12" t="s">
        <v>1</v>
      </c>
      <c r="C2" s="13" t="s">
        <v>261</v>
      </c>
      <c r="D2" s="14" t="s">
        <v>260</v>
      </c>
      <c r="E2" s="15" t="s">
        <v>2</v>
      </c>
      <c r="F2" s="15" t="s">
        <v>3</v>
      </c>
      <c r="G2" s="15" t="s">
        <v>4</v>
      </c>
      <c r="H2" s="15" t="s">
        <v>5</v>
      </c>
      <c r="I2" s="16" t="s">
        <v>262</v>
      </c>
      <c r="J2" s="16" t="s">
        <v>263</v>
      </c>
      <c r="K2" s="17" t="s">
        <v>264</v>
      </c>
      <c r="L2" s="17" t="s">
        <v>6</v>
      </c>
      <c r="M2" s="16" t="s">
        <v>265</v>
      </c>
      <c r="N2" s="17" t="s">
        <v>7</v>
      </c>
      <c r="O2" s="17" t="s">
        <v>8</v>
      </c>
    </row>
    <row r="3" spans="1:17" ht="22.05" customHeight="1">
      <c r="A3" s="53" t="s">
        <v>9</v>
      </c>
      <c r="B3" s="54"/>
      <c r="C3" s="20">
        <f t="shared" ref="C3:H3" si="0">SUM(C4:C5)</f>
        <v>0</v>
      </c>
      <c r="D3" s="20">
        <f t="shared" si="0"/>
        <v>0</v>
      </c>
      <c r="E3" s="21">
        <f t="shared" si="0"/>
        <v>0</v>
      </c>
      <c r="F3" s="21">
        <f t="shared" si="0"/>
        <v>0</v>
      </c>
      <c r="G3" s="21">
        <f t="shared" si="0"/>
        <v>0</v>
      </c>
      <c r="H3" s="21">
        <f t="shared" si="0"/>
        <v>0</v>
      </c>
      <c r="I3" s="22">
        <f t="shared" ref="I3:O3" si="1">SUM(I4:I5)</f>
        <v>0</v>
      </c>
      <c r="J3" s="22">
        <f t="shared" si="1"/>
        <v>0</v>
      </c>
      <c r="K3" s="22">
        <f t="shared" si="1"/>
        <v>0</v>
      </c>
      <c r="L3" s="22">
        <f t="shared" si="1"/>
        <v>0</v>
      </c>
      <c r="M3" s="22">
        <f t="shared" si="1"/>
        <v>0</v>
      </c>
      <c r="N3" s="22">
        <f t="shared" si="1"/>
        <v>0</v>
      </c>
      <c r="O3" s="22">
        <f t="shared" si="1"/>
        <v>0</v>
      </c>
    </row>
    <row r="4" spans="1:17" ht="22.05" customHeight="1">
      <c r="A4" s="17">
        <f>ROW()-3</f>
        <v>1</v>
      </c>
      <c r="B4" s="12"/>
      <c r="C4" s="23"/>
      <c r="D4" s="20">
        <f>C4-F4</f>
        <v>0</v>
      </c>
      <c r="E4" s="21"/>
      <c r="F4" s="21"/>
      <c r="G4" s="26">
        <f>C4-F4-H4</f>
        <v>0</v>
      </c>
      <c r="H4" s="26"/>
      <c r="I4" s="24"/>
      <c r="J4" s="24"/>
      <c r="K4" s="24"/>
      <c r="L4" s="24"/>
      <c r="M4" s="24"/>
      <c r="N4" s="25"/>
      <c r="O4" s="24"/>
    </row>
    <row r="5" spans="1:17" ht="22.05" customHeight="1">
      <c r="A5" s="17">
        <f t="shared" ref="A5" si="2">ROW()-3</f>
        <v>2</v>
      </c>
      <c r="B5" s="12"/>
      <c r="C5" s="23"/>
      <c r="D5" s="20">
        <f t="shared" ref="D5" si="3">C5-F5</f>
        <v>0</v>
      </c>
      <c r="E5" s="21"/>
      <c r="F5" s="21"/>
      <c r="G5" s="26">
        <f>C5-F5-H5</f>
        <v>0</v>
      </c>
      <c r="H5" s="26"/>
      <c r="I5" s="24"/>
      <c r="J5" s="24"/>
      <c r="K5" s="24"/>
      <c r="L5" s="24"/>
      <c r="M5" s="24"/>
      <c r="N5" s="25"/>
      <c r="O5" s="24"/>
    </row>
  </sheetData>
  <mergeCells count="2">
    <mergeCell ref="A1:O1"/>
    <mergeCell ref="A3:B3"/>
  </mergeCells>
  <phoneticPr fontId="13" type="noConversion"/>
  <pageMargins left="0.75" right="0.75" top="1" bottom="1" header="0.5" footer="0.5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7"/>
  <sheetViews>
    <sheetView workbookViewId="0">
      <pane xSplit="1" ySplit="4" topLeftCell="B5" activePane="bottomRight" state="frozen"/>
      <selection pane="topRight"/>
      <selection pane="bottomLeft"/>
      <selection pane="bottomRight" activeCell="P5" sqref="P5"/>
    </sheetView>
  </sheetViews>
  <sheetFormatPr defaultColWidth="9" defaultRowHeight="15"/>
  <cols>
    <col min="1" max="1" width="5" style="19" customWidth="1"/>
    <col min="2" max="2" width="18" style="19" customWidth="1"/>
    <col min="3" max="3" width="20.21875" style="19" customWidth="1"/>
    <col min="4" max="4" width="13.21875" style="19" customWidth="1"/>
    <col min="5" max="5" width="15.6640625" style="19" customWidth="1"/>
    <col min="6" max="6" width="4.21875" style="18" customWidth="1"/>
    <col min="7" max="7" width="6.77734375" style="18" customWidth="1"/>
    <col min="8" max="8" width="10.33203125" style="37" bestFit="1" customWidth="1"/>
    <col min="9" max="9" width="4.6640625" style="18" customWidth="1"/>
    <col min="10" max="10" width="8.6640625" style="37" customWidth="1"/>
    <col min="11" max="11" width="4.6640625" style="18" customWidth="1"/>
    <col min="12" max="12" width="8.6640625" style="37" customWidth="1"/>
    <col min="13" max="13" width="4.6640625" style="18" customWidth="1"/>
    <col min="14" max="14" width="8.6640625" style="37" customWidth="1"/>
    <col min="15" max="15" width="4.88671875" style="18" customWidth="1"/>
    <col min="16" max="16" width="8.6640625" style="37" customWidth="1"/>
    <col min="17" max="17" width="4.6640625" style="18" customWidth="1"/>
    <col min="18" max="18" width="8.6640625" style="37" customWidth="1"/>
    <col min="19" max="19" width="4.6640625" style="18" customWidth="1"/>
    <col min="20" max="20" width="9.21875" style="37" bestFit="1" customWidth="1"/>
    <col min="21" max="21" width="4.6640625" style="18" customWidth="1"/>
    <col min="22" max="22" width="8.6640625" style="37" customWidth="1"/>
    <col min="23" max="23" width="4.6640625" style="18" customWidth="1"/>
    <col min="24" max="24" width="9.21875" style="37" bestFit="1" customWidth="1"/>
    <col min="25" max="25" width="4.6640625" style="18" customWidth="1"/>
    <col min="26" max="26" width="9.21875" style="37" bestFit="1" customWidth="1"/>
    <col min="27" max="16384" width="9" style="19"/>
  </cols>
  <sheetData>
    <row r="1" spans="1:28" s="29" customFormat="1" ht="25.05" customHeight="1">
      <c r="A1" s="39" t="s">
        <v>10</v>
      </c>
      <c r="B1" s="39"/>
      <c r="C1" s="39"/>
      <c r="D1" s="39"/>
      <c r="E1" s="39"/>
      <c r="F1" s="39"/>
      <c r="G1" s="39"/>
      <c r="H1" s="40"/>
      <c r="I1" s="39"/>
      <c r="J1" s="40"/>
      <c r="K1" s="39"/>
      <c r="L1" s="40"/>
      <c r="M1" s="39"/>
      <c r="N1" s="40"/>
      <c r="O1" s="39"/>
      <c r="P1" s="40"/>
      <c r="Q1" s="39"/>
      <c r="R1" s="40"/>
      <c r="S1" s="39"/>
      <c r="T1" s="40"/>
      <c r="U1" s="39"/>
      <c r="V1" s="40"/>
      <c r="W1" s="39"/>
      <c r="X1" s="40"/>
      <c r="Y1" s="39"/>
      <c r="Z1" s="40"/>
      <c r="AA1" s="27"/>
      <c r="AB1" s="28"/>
    </row>
    <row r="2" spans="1:28" ht="19.95" customHeight="1">
      <c r="A2" s="47" t="s">
        <v>0</v>
      </c>
      <c r="B2" s="43" t="s">
        <v>11</v>
      </c>
      <c r="C2" s="48" t="s">
        <v>12</v>
      </c>
      <c r="D2" s="48" t="s">
        <v>13</v>
      </c>
      <c r="E2" s="48" t="s">
        <v>14</v>
      </c>
      <c r="F2" s="48" t="s">
        <v>15</v>
      </c>
      <c r="G2" s="41" t="s">
        <v>9</v>
      </c>
      <c r="H2" s="42"/>
      <c r="I2" s="43" t="s">
        <v>16</v>
      </c>
      <c r="J2" s="44"/>
      <c r="K2" s="43" t="s">
        <v>17</v>
      </c>
      <c r="L2" s="44"/>
      <c r="M2" s="45" t="s">
        <v>18</v>
      </c>
      <c r="N2" s="46"/>
      <c r="O2" s="45" t="s">
        <v>19</v>
      </c>
      <c r="P2" s="46"/>
      <c r="Q2" s="45" t="s">
        <v>20</v>
      </c>
      <c r="R2" s="46"/>
      <c r="S2" s="45" t="s">
        <v>21</v>
      </c>
      <c r="T2" s="46"/>
      <c r="U2" s="45" t="s">
        <v>22</v>
      </c>
      <c r="V2" s="46"/>
      <c r="W2" s="45" t="s">
        <v>23</v>
      </c>
      <c r="X2" s="46"/>
      <c r="Y2" s="43" t="s">
        <v>24</v>
      </c>
      <c r="Z2" s="44"/>
    </row>
    <row r="3" spans="1:28" ht="19.95" customHeight="1">
      <c r="A3" s="47"/>
      <c r="B3" s="43"/>
      <c r="C3" s="48"/>
      <c r="D3" s="49"/>
      <c r="E3" s="49"/>
      <c r="F3" s="49"/>
      <c r="G3" s="30" t="s">
        <v>25</v>
      </c>
      <c r="H3" s="32" t="s">
        <v>26</v>
      </c>
      <c r="I3" s="30" t="s">
        <v>27</v>
      </c>
      <c r="J3" s="33" t="s">
        <v>26</v>
      </c>
      <c r="K3" s="30" t="s">
        <v>27</v>
      </c>
      <c r="L3" s="33" t="s">
        <v>26</v>
      </c>
      <c r="M3" s="31" t="s">
        <v>27</v>
      </c>
      <c r="N3" s="34" t="s">
        <v>26</v>
      </c>
      <c r="O3" s="31" t="s">
        <v>27</v>
      </c>
      <c r="P3" s="34" t="s">
        <v>26</v>
      </c>
      <c r="Q3" s="31" t="s">
        <v>27</v>
      </c>
      <c r="R3" s="34" t="s">
        <v>26</v>
      </c>
      <c r="S3" s="31" t="s">
        <v>27</v>
      </c>
      <c r="T3" s="34" t="s">
        <v>26</v>
      </c>
      <c r="U3" s="31" t="s">
        <v>27</v>
      </c>
      <c r="V3" s="34" t="s">
        <v>26</v>
      </c>
      <c r="W3" s="31" t="s">
        <v>27</v>
      </c>
      <c r="X3" s="34" t="s">
        <v>26</v>
      </c>
      <c r="Y3" s="30" t="s">
        <v>27</v>
      </c>
      <c r="Z3" s="33" t="s">
        <v>26</v>
      </c>
    </row>
    <row r="4" spans="1:28" ht="19.95" customHeight="1">
      <c r="A4" s="45" t="s">
        <v>9</v>
      </c>
      <c r="B4" s="45"/>
      <c r="C4" s="45"/>
      <c r="D4" s="45"/>
      <c r="E4" s="45"/>
      <c r="F4" s="45"/>
      <c r="G4" s="30">
        <f t="shared" ref="G4:Z4" si="0">SUM(G5:G7)</f>
        <v>0</v>
      </c>
      <c r="H4" s="32">
        <f t="shared" si="0"/>
        <v>0</v>
      </c>
      <c r="I4" s="30">
        <f t="shared" si="0"/>
        <v>0</v>
      </c>
      <c r="J4" s="33">
        <f t="shared" si="0"/>
        <v>0</v>
      </c>
      <c r="K4" s="30">
        <f t="shared" si="0"/>
        <v>0</v>
      </c>
      <c r="L4" s="33">
        <f t="shared" si="0"/>
        <v>0</v>
      </c>
      <c r="M4" s="30">
        <f t="shared" si="0"/>
        <v>0</v>
      </c>
      <c r="N4" s="33">
        <f t="shared" si="0"/>
        <v>0</v>
      </c>
      <c r="O4" s="30">
        <f t="shared" si="0"/>
        <v>0</v>
      </c>
      <c r="P4" s="33">
        <f t="shared" si="0"/>
        <v>0</v>
      </c>
      <c r="Q4" s="30">
        <f t="shared" si="0"/>
        <v>0</v>
      </c>
      <c r="R4" s="33">
        <f t="shared" si="0"/>
        <v>0</v>
      </c>
      <c r="S4" s="30">
        <f t="shared" si="0"/>
        <v>0</v>
      </c>
      <c r="T4" s="33">
        <f t="shared" si="0"/>
        <v>0</v>
      </c>
      <c r="U4" s="30">
        <f t="shared" si="0"/>
        <v>0</v>
      </c>
      <c r="V4" s="33">
        <f t="shared" si="0"/>
        <v>0</v>
      </c>
      <c r="W4" s="30">
        <f t="shared" si="0"/>
        <v>0</v>
      </c>
      <c r="X4" s="33">
        <f t="shared" si="0"/>
        <v>0</v>
      </c>
      <c r="Y4" s="30">
        <f t="shared" si="0"/>
        <v>0</v>
      </c>
      <c r="Z4" s="33">
        <f t="shared" si="0"/>
        <v>0</v>
      </c>
    </row>
    <row r="5" spans="1:28" ht="19.95" customHeight="1">
      <c r="A5" s="17">
        <f>ROW()-4</f>
        <v>1</v>
      </c>
      <c r="B5" s="12" t="s">
        <v>28</v>
      </c>
      <c r="C5" s="12" t="s">
        <v>29</v>
      </c>
      <c r="D5" s="12" t="s">
        <v>29</v>
      </c>
      <c r="E5" s="12" t="s">
        <v>30</v>
      </c>
      <c r="F5" s="17" t="s">
        <v>31</v>
      </c>
      <c r="G5" s="17">
        <f t="shared" ref="G5:H7" si="1">SUM(I5,K5,M5,O5,Q5,S5,U5,W5,Y5)</f>
        <v>0</v>
      </c>
      <c r="H5" s="38">
        <f t="shared" si="1"/>
        <v>0</v>
      </c>
      <c r="I5" s="17"/>
      <c r="J5" s="35"/>
      <c r="K5" s="17"/>
      <c r="L5" s="35"/>
      <c r="M5" s="17"/>
      <c r="N5" s="35"/>
      <c r="O5" s="17"/>
      <c r="P5" s="35"/>
      <c r="Q5" s="17"/>
      <c r="R5" s="35"/>
      <c r="S5" s="17"/>
      <c r="T5" s="35"/>
      <c r="U5" s="17"/>
      <c r="V5" s="35"/>
      <c r="W5" s="17"/>
      <c r="X5" s="35"/>
      <c r="Y5" s="17"/>
      <c r="Z5" s="35"/>
    </row>
    <row r="6" spans="1:28" ht="19.95" customHeight="1">
      <c r="A6" s="17">
        <f t="shared" ref="A6" si="2">ROW()-4</f>
        <v>2</v>
      </c>
      <c r="B6" s="12" t="s">
        <v>32</v>
      </c>
      <c r="C6" s="36" t="s">
        <v>33</v>
      </c>
      <c r="D6" s="12" t="s">
        <v>33</v>
      </c>
      <c r="E6" s="12" t="s">
        <v>34</v>
      </c>
      <c r="F6" s="17" t="s">
        <v>35</v>
      </c>
      <c r="G6" s="17">
        <f t="shared" si="1"/>
        <v>0</v>
      </c>
      <c r="H6" s="38">
        <f t="shared" si="1"/>
        <v>0</v>
      </c>
      <c r="I6" s="17"/>
      <c r="J6" s="35"/>
      <c r="K6" s="17"/>
      <c r="L6" s="35"/>
      <c r="M6" s="17"/>
      <c r="N6" s="35"/>
      <c r="O6" s="17"/>
      <c r="P6" s="35"/>
      <c r="Q6" s="17"/>
      <c r="R6" s="35"/>
      <c r="S6" s="17"/>
      <c r="T6" s="35"/>
      <c r="U6" s="17"/>
      <c r="V6" s="35"/>
      <c r="W6" s="17"/>
      <c r="X6" s="35"/>
      <c r="Y6" s="17"/>
      <c r="Z6" s="35"/>
    </row>
    <row r="7" spans="1:28" ht="19.95" customHeight="1">
      <c r="A7" s="17">
        <f t="shared" ref="A7" si="3">ROW()-4</f>
        <v>3</v>
      </c>
      <c r="B7" s="12" t="s">
        <v>255</v>
      </c>
      <c r="C7" s="12" t="s">
        <v>241</v>
      </c>
      <c r="D7" s="12" t="s">
        <v>248</v>
      </c>
      <c r="E7" s="12" t="s">
        <v>256</v>
      </c>
      <c r="F7" s="17" t="s">
        <v>39</v>
      </c>
      <c r="G7" s="17">
        <f t="shared" si="1"/>
        <v>0</v>
      </c>
      <c r="H7" s="38">
        <f t="shared" si="1"/>
        <v>0</v>
      </c>
      <c r="I7" s="17"/>
      <c r="J7" s="35"/>
      <c r="K7" s="17"/>
      <c r="L7" s="35"/>
      <c r="M7" s="17"/>
      <c r="N7" s="35"/>
      <c r="O7" s="17"/>
      <c r="P7" s="35"/>
      <c r="Q7" s="17"/>
      <c r="R7" s="35"/>
      <c r="S7" s="17"/>
      <c r="T7" s="35"/>
      <c r="U7" s="17"/>
      <c r="V7" s="35"/>
      <c r="W7" s="17"/>
      <c r="X7" s="35"/>
      <c r="Y7" s="17"/>
      <c r="Z7" s="35"/>
    </row>
  </sheetData>
  <mergeCells count="18">
    <mergeCell ref="A4:F4"/>
    <mergeCell ref="A2:A3"/>
    <mergeCell ref="B2:B3"/>
    <mergeCell ref="C2:C3"/>
    <mergeCell ref="D2:D3"/>
    <mergeCell ref="E2:E3"/>
    <mergeCell ref="F2:F3"/>
    <mergeCell ref="A1:Z1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9"/>
  <sheetViews>
    <sheetView workbookViewId="0">
      <pane xSplit="1" ySplit="3" topLeftCell="B92" activePane="bottomRight" state="frozen"/>
      <selection pane="topRight"/>
      <selection pane="bottomLeft"/>
      <selection pane="bottomRight" activeCell="H113" sqref="H113"/>
    </sheetView>
  </sheetViews>
  <sheetFormatPr defaultColWidth="9" defaultRowHeight="12"/>
  <cols>
    <col min="1" max="1" width="5" style="1" customWidth="1"/>
    <col min="2" max="2" width="18" style="1" customWidth="1"/>
    <col min="3" max="3" width="21.109375" style="1" customWidth="1"/>
    <col min="4" max="4" width="13.21875" style="1" customWidth="1"/>
    <col min="5" max="5" width="15.6640625" style="1" customWidth="1"/>
    <col min="6" max="6" width="4.21875" style="2" customWidth="1"/>
    <col min="7" max="7" width="8.6640625" style="2" customWidth="1"/>
    <col min="8" max="8" width="10.109375" style="3" customWidth="1"/>
    <col min="9" max="16384" width="9" style="1"/>
  </cols>
  <sheetData>
    <row r="1" spans="1:8" ht="24" customHeight="1">
      <c r="A1" s="55" t="s">
        <v>257</v>
      </c>
      <c r="B1" s="55"/>
      <c r="C1" s="55"/>
      <c r="D1" s="55"/>
      <c r="E1" s="55"/>
      <c r="F1" s="55"/>
      <c r="G1" s="55"/>
      <c r="H1" s="56"/>
    </row>
    <row r="2" spans="1:8" ht="19.95" customHeight="1">
      <c r="A2" s="4" t="s">
        <v>0</v>
      </c>
      <c r="B2" s="5" t="s">
        <v>11</v>
      </c>
      <c r="C2" s="5" t="s">
        <v>12</v>
      </c>
      <c r="D2" s="5" t="s">
        <v>13</v>
      </c>
      <c r="E2" s="5" t="s">
        <v>14</v>
      </c>
      <c r="F2" s="6" t="s">
        <v>15</v>
      </c>
      <c r="G2" s="6" t="s">
        <v>258</v>
      </c>
      <c r="H2" s="7" t="s">
        <v>259</v>
      </c>
    </row>
    <row r="3" spans="1:8" ht="19.95" customHeight="1">
      <c r="A3" s="57" t="s">
        <v>9</v>
      </c>
      <c r="B3" s="57"/>
      <c r="C3" s="57"/>
      <c r="D3" s="57"/>
      <c r="E3" s="57"/>
      <c r="F3" s="57"/>
      <c r="G3" s="6">
        <f>SUM(G4:G109)</f>
        <v>3063</v>
      </c>
      <c r="H3" s="7">
        <f>SUM(H4:H109)</f>
        <v>27189.3</v>
      </c>
    </row>
    <row r="4" spans="1:8" ht="19.95" customHeight="1">
      <c r="A4" s="8">
        <f>ROW()-3</f>
        <v>1</v>
      </c>
      <c r="B4" s="4" t="s">
        <v>32</v>
      </c>
      <c r="C4" s="4" t="s">
        <v>33</v>
      </c>
      <c r="D4" s="4" t="s">
        <v>33</v>
      </c>
      <c r="E4" s="4" t="s">
        <v>34</v>
      </c>
      <c r="F4" s="8" t="s">
        <v>35</v>
      </c>
      <c r="G4" s="8">
        <v>408</v>
      </c>
      <c r="H4" s="9">
        <v>2370.48</v>
      </c>
    </row>
    <row r="5" spans="1:8" ht="19.95" customHeight="1">
      <c r="A5" s="8">
        <f t="shared" ref="A5:A68" si="0">ROW()-3</f>
        <v>2</v>
      </c>
      <c r="B5" s="4" t="s">
        <v>161</v>
      </c>
      <c r="C5" s="4" t="s">
        <v>162</v>
      </c>
      <c r="D5" s="4" t="s">
        <v>163</v>
      </c>
      <c r="E5" s="4" t="s">
        <v>164</v>
      </c>
      <c r="F5" s="8" t="s">
        <v>165</v>
      </c>
      <c r="G5" s="8">
        <v>8</v>
      </c>
      <c r="H5" s="9">
        <v>1987.2</v>
      </c>
    </row>
    <row r="6" spans="1:8" ht="19.95" customHeight="1">
      <c r="A6" s="8">
        <f t="shared" si="0"/>
        <v>3</v>
      </c>
      <c r="B6" s="4" t="s">
        <v>36</v>
      </c>
      <c r="C6" s="4" t="s">
        <v>33</v>
      </c>
      <c r="D6" s="4" t="s">
        <v>37</v>
      </c>
      <c r="E6" s="4" t="s">
        <v>38</v>
      </c>
      <c r="F6" s="8" t="s">
        <v>39</v>
      </c>
      <c r="G6" s="8">
        <v>24</v>
      </c>
      <c r="H6" s="9">
        <v>1296</v>
      </c>
    </row>
    <row r="7" spans="1:8" ht="19.95" customHeight="1">
      <c r="A7" s="8">
        <f t="shared" si="0"/>
        <v>4</v>
      </c>
      <c r="B7" s="4" t="s">
        <v>40</v>
      </c>
      <c r="C7" s="4" t="s">
        <v>33</v>
      </c>
      <c r="D7" s="4" t="s">
        <v>33</v>
      </c>
      <c r="E7" s="4" t="s">
        <v>41</v>
      </c>
      <c r="F7" s="8" t="s">
        <v>35</v>
      </c>
      <c r="G7" s="8">
        <v>312</v>
      </c>
      <c r="H7" s="9">
        <v>1194.96</v>
      </c>
    </row>
    <row r="8" spans="1:8" ht="19.95" customHeight="1">
      <c r="A8" s="8">
        <f t="shared" si="0"/>
        <v>5</v>
      </c>
      <c r="B8" s="4" t="s">
        <v>166</v>
      </c>
      <c r="C8" s="4" t="s">
        <v>162</v>
      </c>
      <c r="D8" s="4" t="s">
        <v>167</v>
      </c>
      <c r="E8" s="4" t="s">
        <v>168</v>
      </c>
      <c r="F8" s="8" t="s">
        <v>165</v>
      </c>
      <c r="G8" s="8">
        <v>4</v>
      </c>
      <c r="H8" s="9">
        <v>1008</v>
      </c>
    </row>
    <row r="9" spans="1:8" ht="19.95" customHeight="1">
      <c r="A9" s="8">
        <f t="shared" si="0"/>
        <v>6</v>
      </c>
      <c r="B9" s="4" t="s">
        <v>28</v>
      </c>
      <c r="C9" s="4" t="s">
        <v>29</v>
      </c>
      <c r="D9" s="4" t="s">
        <v>29</v>
      </c>
      <c r="E9" s="4" t="s">
        <v>30</v>
      </c>
      <c r="F9" s="8" t="s">
        <v>31</v>
      </c>
      <c r="G9" s="8">
        <v>8</v>
      </c>
      <c r="H9" s="9">
        <v>900</v>
      </c>
    </row>
    <row r="10" spans="1:8" ht="19.95" customHeight="1">
      <c r="A10" s="8">
        <f t="shared" si="0"/>
        <v>7</v>
      </c>
      <c r="B10" s="4" t="s">
        <v>42</v>
      </c>
      <c r="C10" s="4" t="s">
        <v>33</v>
      </c>
      <c r="D10" s="4" t="s">
        <v>33</v>
      </c>
      <c r="E10" s="4" t="s">
        <v>43</v>
      </c>
      <c r="F10" s="8" t="s">
        <v>35</v>
      </c>
      <c r="G10" s="8">
        <v>1080</v>
      </c>
      <c r="H10" s="9">
        <v>810</v>
      </c>
    </row>
    <row r="11" spans="1:8" ht="19.95" customHeight="1">
      <c r="A11" s="8">
        <f t="shared" si="0"/>
        <v>8</v>
      </c>
      <c r="B11" s="4" t="s">
        <v>169</v>
      </c>
      <c r="C11" s="4" t="s">
        <v>162</v>
      </c>
      <c r="D11" s="4" t="s">
        <v>170</v>
      </c>
      <c r="E11" s="4" t="s">
        <v>171</v>
      </c>
      <c r="F11" s="8" t="s">
        <v>172</v>
      </c>
      <c r="G11" s="8">
        <v>50</v>
      </c>
      <c r="H11" s="9">
        <v>790</v>
      </c>
    </row>
    <row r="12" spans="1:8" ht="19.95" customHeight="1">
      <c r="A12" s="8">
        <f t="shared" si="0"/>
        <v>9</v>
      </c>
      <c r="B12" s="4" t="s">
        <v>44</v>
      </c>
      <c r="C12" s="4" t="s">
        <v>33</v>
      </c>
      <c r="D12" s="4" t="s">
        <v>45</v>
      </c>
      <c r="E12" s="4" t="s">
        <v>46</v>
      </c>
      <c r="F12" s="8" t="s">
        <v>39</v>
      </c>
      <c r="G12" s="8">
        <v>31</v>
      </c>
      <c r="H12" s="9">
        <v>744</v>
      </c>
    </row>
    <row r="13" spans="1:8" ht="19.95" customHeight="1">
      <c r="A13" s="8">
        <f t="shared" si="0"/>
        <v>10</v>
      </c>
      <c r="B13" s="4" t="s">
        <v>47</v>
      </c>
      <c r="C13" s="4" t="s">
        <v>33</v>
      </c>
      <c r="D13" s="4" t="s">
        <v>45</v>
      </c>
      <c r="E13" s="4" t="s">
        <v>46</v>
      </c>
      <c r="F13" s="8" t="s">
        <v>39</v>
      </c>
      <c r="G13" s="8">
        <v>21</v>
      </c>
      <c r="H13" s="9">
        <v>693</v>
      </c>
    </row>
    <row r="14" spans="1:8" ht="19.95" customHeight="1">
      <c r="A14" s="8">
        <f t="shared" si="0"/>
        <v>11</v>
      </c>
      <c r="B14" s="4" t="s">
        <v>173</v>
      </c>
      <c r="C14" s="4" t="s">
        <v>162</v>
      </c>
      <c r="D14" s="4" t="s">
        <v>163</v>
      </c>
      <c r="E14" s="4" t="s">
        <v>174</v>
      </c>
      <c r="F14" s="8" t="s">
        <v>165</v>
      </c>
      <c r="G14" s="8">
        <v>2</v>
      </c>
      <c r="H14" s="9">
        <v>572</v>
      </c>
    </row>
    <row r="15" spans="1:8" ht="19.95" customHeight="1">
      <c r="A15" s="8">
        <f t="shared" si="0"/>
        <v>12</v>
      </c>
      <c r="B15" s="4" t="s">
        <v>48</v>
      </c>
      <c r="C15" s="4" t="s">
        <v>33</v>
      </c>
      <c r="D15" s="4" t="s">
        <v>49</v>
      </c>
      <c r="E15" s="4" t="s">
        <v>50</v>
      </c>
      <c r="F15" s="8" t="s">
        <v>39</v>
      </c>
      <c r="G15" s="8">
        <v>20</v>
      </c>
      <c r="H15" s="9">
        <v>508</v>
      </c>
    </row>
    <row r="16" spans="1:8" ht="19.95" customHeight="1">
      <c r="A16" s="8">
        <f t="shared" si="0"/>
        <v>13</v>
      </c>
      <c r="B16" s="4" t="s">
        <v>51</v>
      </c>
      <c r="C16" s="4" t="s">
        <v>33</v>
      </c>
      <c r="D16" s="4" t="s">
        <v>33</v>
      </c>
      <c r="E16" s="4" t="s">
        <v>52</v>
      </c>
      <c r="F16" s="8" t="s">
        <v>35</v>
      </c>
      <c r="G16" s="8">
        <v>60</v>
      </c>
      <c r="H16" s="9">
        <v>474</v>
      </c>
    </row>
    <row r="17" spans="1:8" ht="19.95" customHeight="1">
      <c r="A17" s="8">
        <f t="shared" si="0"/>
        <v>14</v>
      </c>
      <c r="B17" s="4" t="s">
        <v>53</v>
      </c>
      <c r="C17" s="4" t="s">
        <v>33</v>
      </c>
      <c r="D17" s="4" t="s">
        <v>54</v>
      </c>
      <c r="E17" s="4" t="s">
        <v>55</v>
      </c>
      <c r="F17" s="8" t="s">
        <v>39</v>
      </c>
      <c r="G17" s="8">
        <v>5</v>
      </c>
      <c r="H17" s="9">
        <v>468</v>
      </c>
    </row>
    <row r="18" spans="1:8" ht="19.95" customHeight="1">
      <c r="A18" s="8">
        <f t="shared" si="0"/>
        <v>15</v>
      </c>
      <c r="B18" s="4" t="s">
        <v>56</v>
      </c>
      <c r="C18" s="4" t="s">
        <v>33</v>
      </c>
      <c r="D18" s="4" t="s">
        <v>37</v>
      </c>
      <c r="E18" s="4" t="s">
        <v>57</v>
      </c>
      <c r="F18" s="8" t="s">
        <v>39</v>
      </c>
      <c r="G18" s="8">
        <v>7</v>
      </c>
      <c r="H18" s="9">
        <v>462</v>
      </c>
    </row>
    <row r="19" spans="1:8" ht="19.95" customHeight="1">
      <c r="A19" s="8">
        <f t="shared" si="0"/>
        <v>16</v>
      </c>
      <c r="B19" s="4" t="s">
        <v>175</v>
      </c>
      <c r="C19" s="4" t="s">
        <v>162</v>
      </c>
      <c r="D19" s="4" t="s">
        <v>170</v>
      </c>
      <c r="E19" s="4" t="s">
        <v>176</v>
      </c>
      <c r="F19" s="8" t="s">
        <v>39</v>
      </c>
      <c r="G19" s="8">
        <v>24</v>
      </c>
      <c r="H19" s="9">
        <v>460.8</v>
      </c>
    </row>
    <row r="20" spans="1:8" ht="19.95" customHeight="1">
      <c r="A20" s="8">
        <f t="shared" si="0"/>
        <v>17</v>
      </c>
      <c r="B20" s="4" t="s">
        <v>58</v>
      </c>
      <c r="C20" s="4" t="s">
        <v>33</v>
      </c>
      <c r="D20" s="4" t="s">
        <v>33</v>
      </c>
      <c r="E20" s="4" t="s">
        <v>59</v>
      </c>
      <c r="F20" s="8" t="s">
        <v>35</v>
      </c>
      <c r="G20" s="8">
        <v>120</v>
      </c>
      <c r="H20" s="9">
        <v>456</v>
      </c>
    </row>
    <row r="21" spans="1:8" ht="19.95" customHeight="1">
      <c r="A21" s="8">
        <f t="shared" si="0"/>
        <v>18</v>
      </c>
      <c r="B21" s="4" t="s">
        <v>60</v>
      </c>
      <c r="C21" s="4" t="s">
        <v>33</v>
      </c>
      <c r="D21" s="4" t="s">
        <v>45</v>
      </c>
      <c r="E21" s="4" t="s">
        <v>61</v>
      </c>
      <c r="F21" s="8" t="s">
        <v>39</v>
      </c>
      <c r="G21" s="8">
        <v>13</v>
      </c>
      <c r="H21" s="9">
        <v>436.8</v>
      </c>
    </row>
    <row r="22" spans="1:8" ht="19.95" customHeight="1">
      <c r="A22" s="8">
        <f t="shared" si="0"/>
        <v>19</v>
      </c>
      <c r="B22" s="4" t="s">
        <v>177</v>
      </c>
      <c r="C22" s="4" t="s">
        <v>162</v>
      </c>
      <c r="D22" s="4" t="s">
        <v>163</v>
      </c>
      <c r="E22" s="4" t="s">
        <v>178</v>
      </c>
      <c r="F22" s="8" t="s">
        <v>165</v>
      </c>
      <c r="G22" s="8">
        <v>2</v>
      </c>
      <c r="H22" s="9">
        <v>436</v>
      </c>
    </row>
    <row r="23" spans="1:8" ht="19.95" customHeight="1">
      <c r="A23" s="8">
        <f t="shared" si="0"/>
        <v>20</v>
      </c>
      <c r="B23" s="4" t="s">
        <v>179</v>
      </c>
      <c r="C23" s="4" t="s">
        <v>162</v>
      </c>
      <c r="D23" s="4" t="s">
        <v>163</v>
      </c>
      <c r="E23" s="4" t="s">
        <v>180</v>
      </c>
      <c r="F23" s="8" t="s">
        <v>165</v>
      </c>
      <c r="G23" s="8">
        <v>3</v>
      </c>
      <c r="H23" s="9">
        <v>435</v>
      </c>
    </row>
    <row r="24" spans="1:8" ht="19.95" customHeight="1">
      <c r="A24" s="8">
        <f t="shared" si="0"/>
        <v>21</v>
      </c>
      <c r="B24" s="4" t="s">
        <v>181</v>
      </c>
      <c r="C24" s="4" t="s">
        <v>162</v>
      </c>
      <c r="D24" s="4" t="s">
        <v>182</v>
      </c>
      <c r="E24" s="4" t="s">
        <v>183</v>
      </c>
      <c r="F24" s="8" t="s">
        <v>39</v>
      </c>
      <c r="G24" s="8">
        <v>6</v>
      </c>
      <c r="H24" s="9">
        <v>431.4</v>
      </c>
    </row>
    <row r="25" spans="1:8" ht="19.95" customHeight="1">
      <c r="A25" s="8">
        <f t="shared" si="0"/>
        <v>22</v>
      </c>
      <c r="B25" s="4" t="s">
        <v>184</v>
      </c>
      <c r="C25" s="4" t="s">
        <v>162</v>
      </c>
      <c r="D25" s="4" t="s">
        <v>182</v>
      </c>
      <c r="E25" s="4" t="s">
        <v>185</v>
      </c>
      <c r="F25" s="8" t="s">
        <v>39</v>
      </c>
      <c r="G25" s="8">
        <v>12</v>
      </c>
      <c r="H25" s="9">
        <v>404.4</v>
      </c>
    </row>
    <row r="26" spans="1:8" ht="19.95" customHeight="1">
      <c r="A26" s="8">
        <f t="shared" si="0"/>
        <v>23</v>
      </c>
      <c r="B26" s="4" t="s">
        <v>186</v>
      </c>
      <c r="C26" s="4" t="s">
        <v>162</v>
      </c>
      <c r="D26" s="4" t="s">
        <v>163</v>
      </c>
      <c r="E26" s="4" t="s">
        <v>187</v>
      </c>
      <c r="F26" s="8" t="s">
        <v>165</v>
      </c>
      <c r="G26" s="8">
        <v>3</v>
      </c>
      <c r="H26" s="9">
        <v>396</v>
      </c>
    </row>
    <row r="27" spans="1:8" ht="19.95" customHeight="1">
      <c r="A27" s="8">
        <f t="shared" si="0"/>
        <v>24</v>
      </c>
      <c r="B27" s="4" t="s">
        <v>62</v>
      </c>
      <c r="C27" s="4" t="s">
        <v>33</v>
      </c>
      <c r="D27" s="4" t="s">
        <v>37</v>
      </c>
      <c r="E27" s="4" t="s">
        <v>63</v>
      </c>
      <c r="F27" s="8" t="s">
        <v>39</v>
      </c>
      <c r="G27" s="8">
        <v>5</v>
      </c>
      <c r="H27" s="9">
        <v>372</v>
      </c>
    </row>
    <row r="28" spans="1:8" ht="19.95" customHeight="1">
      <c r="A28" s="8">
        <f t="shared" si="0"/>
        <v>25</v>
      </c>
      <c r="B28" s="4" t="s">
        <v>64</v>
      </c>
      <c r="C28" s="4" t="s">
        <v>33</v>
      </c>
      <c r="D28" s="4" t="s">
        <v>65</v>
      </c>
      <c r="E28" s="4" t="s">
        <v>50</v>
      </c>
      <c r="F28" s="8" t="s">
        <v>39</v>
      </c>
      <c r="G28" s="8">
        <v>9</v>
      </c>
      <c r="H28" s="9">
        <v>367.2</v>
      </c>
    </row>
    <row r="29" spans="1:8" ht="19.95" customHeight="1">
      <c r="A29" s="8">
        <f t="shared" si="0"/>
        <v>26</v>
      </c>
      <c r="B29" s="4" t="s">
        <v>188</v>
      </c>
      <c r="C29" s="4" t="s">
        <v>162</v>
      </c>
      <c r="D29" s="4" t="s">
        <v>163</v>
      </c>
      <c r="E29" s="4" t="s">
        <v>189</v>
      </c>
      <c r="F29" s="8" t="s">
        <v>165</v>
      </c>
      <c r="G29" s="8">
        <v>2</v>
      </c>
      <c r="H29" s="9">
        <v>360</v>
      </c>
    </row>
    <row r="30" spans="1:8" ht="19.95" customHeight="1">
      <c r="A30" s="8">
        <f t="shared" si="0"/>
        <v>27</v>
      </c>
      <c r="B30" s="4" t="s">
        <v>66</v>
      </c>
      <c r="C30" s="4" t="s">
        <v>33</v>
      </c>
      <c r="D30" s="4" t="s">
        <v>65</v>
      </c>
      <c r="E30" s="4" t="s">
        <v>67</v>
      </c>
      <c r="F30" s="8" t="s">
        <v>39</v>
      </c>
      <c r="G30" s="8">
        <v>11</v>
      </c>
      <c r="H30" s="9">
        <v>336.6</v>
      </c>
    </row>
    <row r="31" spans="1:8" ht="19.95" customHeight="1">
      <c r="A31" s="8">
        <f t="shared" si="0"/>
        <v>28</v>
      </c>
      <c r="B31" s="4" t="s">
        <v>68</v>
      </c>
      <c r="C31" s="4" t="s">
        <v>33</v>
      </c>
      <c r="D31" s="4" t="s">
        <v>37</v>
      </c>
      <c r="E31" s="4" t="s">
        <v>63</v>
      </c>
      <c r="F31" s="8" t="s">
        <v>39</v>
      </c>
      <c r="G31" s="8">
        <v>5</v>
      </c>
      <c r="H31" s="9">
        <v>336</v>
      </c>
    </row>
    <row r="32" spans="1:8" ht="19.95" customHeight="1">
      <c r="A32" s="8">
        <f t="shared" si="0"/>
        <v>29</v>
      </c>
      <c r="B32" s="4" t="s">
        <v>69</v>
      </c>
      <c r="C32" s="4" t="s">
        <v>33</v>
      </c>
      <c r="D32" s="4" t="s">
        <v>45</v>
      </c>
      <c r="E32" s="4" t="s">
        <v>70</v>
      </c>
      <c r="F32" s="8" t="s">
        <v>39</v>
      </c>
      <c r="G32" s="8">
        <v>11</v>
      </c>
      <c r="H32" s="9">
        <v>330</v>
      </c>
    </row>
    <row r="33" spans="1:8" ht="19.95" customHeight="1">
      <c r="A33" s="8">
        <f t="shared" si="0"/>
        <v>30</v>
      </c>
      <c r="B33" s="4" t="s">
        <v>71</v>
      </c>
      <c r="C33" s="4" t="s">
        <v>33</v>
      </c>
      <c r="D33" s="4" t="s">
        <v>33</v>
      </c>
      <c r="E33" s="4" t="s">
        <v>72</v>
      </c>
      <c r="F33" s="8" t="s">
        <v>35</v>
      </c>
      <c r="G33" s="8">
        <v>48</v>
      </c>
      <c r="H33" s="9">
        <v>316.8</v>
      </c>
    </row>
    <row r="34" spans="1:8" ht="19.95" customHeight="1">
      <c r="A34" s="8">
        <f t="shared" si="0"/>
        <v>31</v>
      </c>
      <c r="B34" s="4" t="s">
        <v>73</v>
      </c>
      <c r="C34" s="4" t="s">
        <v>33</v>
      </c>
      <c r="D34" s="4" t="s">
        <v>49</v>
      </c>
      <c r="E34" s="4" t="s">
        <v>74</v>
      </c>
      <c r="F34" s="8" t="s">
        <v>75</v>
      </c>
      <c r="G34" s="8">
        <v>3</v>
      </c>
      <c r="H34" s="9">
        <v>300</v>
      </c>
    </row>
    <row r="35" spans="1:8" ht="19.95" customHeight="1">
      <c r="A35" s="8">
        <f t="shared" si="0"/>
        <v>32</v>
      </c>
      <c r="B35" s="4" t="s">
        <v>76</v>
      </c>
      <c r="C35" s="4" t="s">
        <v>33</v>
      </c>
      <c r="D35" s="4" t="s">
        <v>45</v>
      </c>
      <c r="E35" s="4" t="s">
        <v>46</v>
      </c>
      <c r="F35" s="8" t="s">
        <v>39</v>
      </c>
      <c r="G35" s="8">
        <v>10</v>
      </c>
      <c r="H35" s="9">
        <v>280</v>
      </c>
    </row>
    <row r="36" spans="1:8" ht="19.95" customHeight="1">
      <c r="A36" s="8">
        <f t="shared" si="0"/>
        <v>33</v>
      </c>
      <c r="B36" s="4" t="s">
        <v>77</v>
      </c>
      <c r="C36" s="4" t="s">
        <v>33</v>
      </c>
      <c r="D36" s="4" t="s">
        <v>45</v>
      </c>
      <c r="E36" s="4" t="s">
        <v>78</v>
      </c>
      <c r="F36" s="8" t="s">
        <v>39</v>
      </c>
      <c r="G36" s="8">
        <v>5</v>
      </c>
      <c r="H36" s="9">
        <v>280</v>
      </c>
    </row>
    <row r="37" spans="1:8" ht="19.95" customHeight="1">
      <c r="A37" s="8">
        <f t="shared" si="0"/>
        <v>34</v>
      </c>
      <c r="B37" s="4" t="s">
        <v>79</v>
      </c>
      <c r="C37" s="4" t="s">
        <v>33</v>
      </c>
      <c r="D37" s="4" t="s">
        <v>45</v>
      </c>
      <c r="E37" s="4" t="s">
        <v>80</v>
      </c>
      <c r="F37" s="8" t="s">
        <v>39</v>
      </c>
      <c r="G37" s="8">
        <v>4</v>
      </c>
      <c r="H37" s="9">
        <v>230.4</v>
      </c>
    </row>
    <row r="38" spans="1:8" ht="19.95" customHeight="1">
      <c r="A38" s="8">
        <f t="shared" si="0"/>
        <v>35</v>
      </c>
      <c r="B38" s="4" t="s">
        <v>190</v>
      </c>
      <c r="C38" s="4" t="s">
        <v>162</v>
      </c>
      <c r="D38" s="4" t="s">
        <v>163</v>
      </c>
      <c r="E38" s="4" t="s">
        <v>191</v>
      </c>
      <c r="F38" s="8" t="s">
        <v>165</v>
      </c>
      <c r="G38" s="8">
        <v>2</v>
      </c>
      <c r="H38" s="9">
        <v>230</v>
      </c>
    </row>
    <row r="39" spans="1:8" ht="19.95" customHeight="1">
      <c r="A39" s="8">
        <f t="shared" si="0"/>
        <v>36</v>
      </c>
      <c r="B39" s="4" t="s">
        <v>192</v>
      </c>
      <c r="C39" s="4" t="s">
        <v>162</v>
      </c>
      <c r="D39" s="4" t="s">
        <v>182</v>
      </c>
      <c r="E39" s="4" t="s">
        <v>193</v>
      </c>
      <c r="F39" s="8" t="s">
        <v>39</v>
      </c>
      <c r="G39" s="8">
        <v>23</v>
      </c>
      <c r="H39" s="9">
        <v>220.8</v>
      </c>
    </row>
    <row r="40" spans="1:8" ht="19.95" customHeight="1">
      <c r="A40" s="8">
        <f t="shared" si="0"/>
        <v>37</v>
      </c>
      <c r="B40" s="4" t="s">
        <v>81</v>
      </c>
      <c r="C40" s="4" t="s">
        <v>33</v>
      </c>
      <c r="D40" s="4" t="s">
        <v>54</v>
      </c>
      <c r="E40" s="4" t="s">
        <v>82</v>
      </c>
      <c r="F40" s="8" t="s">
        <v>39</v>
      </c>
      <c r="G40" s="8">
        <v>7</v>
      </c>
      <c r="H40" s="9">
        <v>210</v>
      </c>
    </row>
    <row r="41" spans="1:8" ht="19.95" customHeight="1">
      <c r="A41" s="8">
        <f t="shared" si="0"/>
        <v>38</v>
      </c>
      <c r="B41" s="4" t="s">
        <v>83</v>
      </c>
      <c r="C41" s="4" t="s">
        <v>33</v>
      </c>
      <c r="D41" s="4" t="s">
        <v>65</v>
      </c>
      <c r="E41" s="4" t="s">
        <v>50</v>
      </c>
      <c r="F41" s="8" t="s">
        <v>39</v>
      </c>
      <c r="G41" s="8">
        <v>5</v>
      </c>
      <c r="H41" s="9">
        <v>192</v>
      </c>
    </row>
    <row r="42" spans="1:8" ht="19.95" customHeight="1">
      <c r="A42" s="8">
        <f t="shared" si="0"/>
        <v>39</v>
      </c>
      <c r="B42" s="4" t="s">
        <v>194</v>
      </c>
      <c r="C42" s="4" t="s">
        <v>162</v>
      </c>
      <c r="D42" s="4" t="s">
        <v>167</v>
      </c>
      <c r="E42" s="4" t="s">
        <v>195</v>
      </c>
      <c r="F42" s="8" t="s">
        <v>39</v>
      </c>
      <c r="G42" s="8">
        <v>4</v>
      </c>
      <c r="H42" s="9">
        <v>192</v>
      </c>
    </row>
    <row r="43" spans="1:8" ht="19.95" customHeight="1">
      <c r="A43" s="8">
        <f t="shared" si="0"/>
        <v>40</v>
      </c>
      <c r="B43" s="4" t="s">
        <v>196</v>
      </c>
      <c r="C43" s="4" t="s">
        <v>162</v>
      </c>
      <c r="D43" s="4" t="s">
        <v>163</v>
      </c>
      <c r="E43" s="4" t="s">
        <v>197</v>
      </c>
      <c r="F43" s="8" t="s">
        <v>165</v>
      </c>
      <c r="G43" s="8">
        <v>1</v>
      </c>
      <c r="H43" s="9">
        <v>168</v>
      </c>
    </row>
    <row r="44" spans="1:8" ht="19.95" customHeight="1">
      <c r="A44" s="8">
        <f t="shared" si="0"/>
        <v>41</v>
      </c>
      <c r="B44" s="4" t="s">
        <v>84</v>
      </c>
      <c r="C44" s="4" t="s">
        <v>33</v>
      </c>
      <c r="D44" s="4" t="s">
        <v>65</v>
      </c>
      <c r="E44" s="4" t="s">
        <v>85</v>
      </c>
      <c r="F44" s="8" t="s">
        <v>39</v>
      </c>
      <c r="G44" s="8">
        <v>5</v>
      </c>
      <c r="H44" s="9">
        <v>162</v>
      </c>
    </row>
    <row r="45" spans="1:8" ht="19.95" customHeight="1">
      <c r="A45" s="8">
        <f t="shared" si="0"/>
        <v>42</v>
      </c>
      <c r="B45" s="4" t="s">
        <v>86</v>
      </c>
      <c r="C45" s="4" t="s">
        <v>33</v>
      </c>
      <c r="D45" s="4" t="s">
        <v>33</v>
      </c>
      <c r="E45" s="4" t="s">
        <v>87</v>
      </c>
      <c r="F45" s="8" t="s">
        <v>35</v>
      </c>
      <c r="G45" s="8">
        <v>72</v>
      </c>
      <c r="H45" s="9">
        <v>158.4</v>
      </c>
    </row>
    <row r="46" spans="1:8" ht="19.95" customHeight="1">
      <c r="A46" s="8">
        <f t="shared" si="0"/>
        <v>43</v>
      </c>
      <c r="B46" s="4" t="s">
        <v>240</v>
      </c>
      <c r="C46" s="4" t="s">
        <v>241</v>
      </c>
      <c r="D46" s="4" t="s">
        <v>242</v>
      </c>
      <c r="E46" s="4" t="s">
        <v>243</v>
      </c>
      <c r="F46" s="8" t="s">
        <v>244</v>
      </c>
      <c r="G46" s="8">
        <v>4</v>
      </c>
      <c r="H46" s="9">
        <v>150</v>
      </c>
    </row>
    <row r="47" spans="1:8" ht="19.95" customHeight="1">
      <c r="A47" s="8">
        <f t="shared" si="0"/>
        <v>44</v>
      </c>
      <c r="B47" s="4" t="s">
        <v>198</v>
      </c>
      <c r="C47" s="4" t="s">
        <v>162</v>
      </c>
      <c r="D47" s="4" t="s">
        <v>163</v>
      </c>
      <c r="E47" s="4" t="s">
        <v>199</v>
      </c>
      <c r="F47" s="8" t="s">
        <v>165</v>
      </c>
      <c r="G47" s="8">
        <v>1</v>
      </c>
      <c r="H47" s="9">
        <v>145</v>
      </c>
    </row>
    <row r="48" spans="1:8" ht="19.95" customHeight="1">
      <c r="A48" s="8">
        <f t="shared" si="0"/>
        <v>45</v>
      </c>
      <c r="B48" s="4" t="s">
        <v>88</v>
      </c>
      <c r="C48" s="4" t="s">
        <v>33</v>
      </c>
      <c r="D48" s="4" t="s">
        <v>33</v>
      </c>
      <c r="E48" s="4" t="s">
        <v>89</v>
      </c>
      <c r="F48" s="8" t="s">
        <v>35</v>
      </c>
      <c r="G48" s="8">
        <v>64</v>
      </c>
      <c r="H48" s="9">
        <v>144</v>
      </c>
    </row>
    <row r="49" spans="1:8" ht="19.95" customHeight="1">
      <c r="A49" s="8">
        <f t="shared" si="0"/>
        <v>46</v>
      </c>
      <c r="B49" s="4" t="s">
        <v>127</v>
      </c>
      <c r="C49" s="4" t="s">
        <v>128</v>
      </c>
      <c r="D49" s="4" t="s">
        <v>129</v>
      </c>
      <c r="E49" s="4" t="s">
        <v>130</v>
      </c>
      <c r="F49" s="8" t="s">
        <v>35</v>
      </c>
      <c r="G49" s="8">
        <v>100</v>
      </c>
      <c r="H49" s="9">
        <v>140</v>
      </c>
    </row>
    <row r="50" spans="1:8" ht="19.95" customHeight="1">
      <c r="A50" s="8">
        <f t="shared" si="0"/>
        <v>47</v>
      </c>
      <c r="B50" s="4" t="s">
        <v>245</v>
      </c>
      <c r="C50" s="4" t="s">
        <v>241</v>
      </c>
      <c r="D50" s="4" t="s">
        <v>242</v>
      </c>
      <c r="E50" s="4" t="s">
        <v>246</v>
      </c>
      <c r="F50" s="8" t="s">
        <v>244</v>
      </c>
      <c r="G50" s="8">
        <v>5</v>
      </c>
      <c r="H50" s="9">
        <v>130</v>
      </c>
    </row>
    <row r="51" spans="1:8" ht="19.95" customHeight="1">
      <c r="A51" s="8">
        <f t="shared" si="0"/>
        <v>48</v>
      </c>
      <c r="B51" s="4" t="s">
        <v>90</v>
      </c>
      <c r="C51" s="4" t="s">
        <v>33</v>
      </c>
      <c r="D51" s="4" t="s">
        <v>65</v>
      </c>
      <c r="E51" s="4" t="s">
        <v>91</v>
      </c>
      <c r="F51" s="8" t="s">
        <v>39</v>
      </c>
      <c r="G51" s="8">
        <v>3</v>
      </c>
      <c r="H51" s="9">
        <v>129.6</v>
      </c>
    </row>
    <row r="52" spans="1:8" ht="19.95" customHeight="1">
      <c r="A52" s="8">
        <f t="shared" si="0"/>
        <v>49</v>
      </c>
      <c r="B52" s="4" t="s">
        <v>92</v>
      </c>
      <c r="C52" s="4" t="s">
        <v>33</v>
      </c>
      <c r="D52" s="4" t="s">
        <v>65</v>
      </c>
      <c r="E52" s="4" t="s">
        <v>91</v>
      </c>
      <c r="F52" s="8" t="s">
        <v>39</v>
      </c>
      <c r="G52" s="8">
        <v>3</v>
      </c>
      <c r="H52" s="9">
        <v>129.6</v>
      </c>
    </row>
    <row r="53" spans="1:8" ht="19.95" customHeight="1">
      <c r="A53" s="8">
        <f t="shared" si="0"/>
        <v>50</v>
      </c>
      <c r="B53" s="4" t="s">
        <v>131</v>
      </c>
      <c r="C53" s="4" t="s">
        <v>128</v>
      </c>
      <c r="D53" s="4" t="s">
        <v>132</v>
      </c>
      <c r="E53" s="4" t="s">
        <v>133</v>
      </c>
      <c r="F53" s="8" t="s">
        <v>134</v>
      </c>
      <c r="G53" s="8">
        <v>25</v>
      </c>
      <c r="H53" s="9">
        <v>125</v>
      </c>
    </row>
    <row r="54" spans="1:8" ht="19.95" customHeight="1">
      <c r="A54" s="8">
        <f t="shared" si="0"/>
        <v>51</v>
      </c>
      <c r="B54" s="4" t="s">
        <v>93</v>
      </c>
      <c r="C54" s="4" t="s">
        <v>33</v>
      </c>
      <c r="D54" s="4" t="s">
        <v>33</v>
      </c>
      <c r="E54" s="4" t="s">
        <v>94</v>
      </c>
      <c r="F54" s="8" t="s">
        <v>35</v>
      </c>
      <c r="G54" s="8">
        <v>32</v>
      </c>
      <c r="H54" s="9">
        <v>121.6</v>
      </c>
    </row>
    <row r="55" spans="1:8" ht="19.95" customHeight="1">
      <c r="A55" s="8">
        <f t="shared" si="0"/>
        <v>52</v>
      </c>
      <c r="B55" s="4" t="s">
        <v>135</v>
      </c>
      <c r="C55" s="4" t="s">
        <v>128</v>
      </c>
      <c r="D55" s="4" t="s">
        <v>132</v>
      </c>
      <c r="E55" s="4" t="s">
        <v>133</v>
      </c>
      <c r="F55" s="8" t="s">
        <v>134</v>
      </c>
      <c r="G55" s="8">
        <v>13</v>
      </c>
      <c r="H55" s="9">
        <v>120.9</v>
      </c>
    </row>
    <row r="56" spans="1:8" ht="19.95" customHeight="1">
      <c r="A56" s="8">
        <f t="shared" si="0"/>
        <v>53</v>
      </c>
      <c r="B56" s="4" t="s">
        <v>95</v>
      </c>
      <c r="C56" s="4" t="s">
        <v>33</v>
      </c>
      <c r="D56" s="4" t="s">
        <v>65</v>
      </c>
      <c r="E56" s="4" t="s">
        <v>96</v>
      </c>
      <c r="F56" s="8" t="s">
        <v>39</v>
      </c>
      <c r="G56" s="8">
        <v>5</v>
      </c>
      <c r="H56" s="9">
        <v>120</v>
      </c>
    </row>
    <row r="57" spans="1:8" ht="19.95" customHeight="1">
      <c r="A57" s="8">
        <f t="shared" si="0"/>
        <v>54</v>
      </c>
      <c r="B57" s="4" t="s">
        <v>97</v>
      </c>
      <c r="C57" s="4" t="s">
        <v>33</v>
      </c>
      <c r="D57" s="4" t="s">
        <v>45</v>
      </c>
      <c r="E57" s="4" t="s">
        <v>80</v>
      </c>
      <c r="F57" s="8" t="s">
        <v>39</v>
      </c>
      <c r="G57" s="8">
        <v>3</v>
      </c>
      <c r="H57" s="9">
        <v>115.2</v>
      </c>
    </row>
    <row r="58" spans="1:8" ht="19.95" customHeight="1">
      <c r="A58" s="8">
        <f t="shared" si="0"/>
        <v>55</v>
      </c>
      <c r="B58" s="4" t="s">
        <v>98</v>
      </c>
      <c r="C58" s="4" t="s">
        <v>33</v>
      </c>
      <c r="D58" s="4" t="s">
        <v>33</v>
      </c>
      <c r="E58" s="4" t="s">
        <v>99</v>
      </c>
      <c r="F58" s="8" t="s">
        <v>75</v>
      </c>
      <c r="G58" s="8">
        <v>1</v>
      </c>
      <c r="H58" s="9">
        <v>108.2</v>
      </c>
    </row>
    <row r="59" spans="1:8" ht="19.95" customHeight="1">
      <c r="A59" s="8">
        <f t="shared" si="0"/>
        <v>56</v>
      </c>
      <c r="B59" s="4" t="s">
        <v>100</v>
      </c>
      <c r="C59" s="4" t="s">
        <v>33</v>
      </c>
      <c r="D59" s="4" t="s">
        <v>54</v>
      </c>
      <c r="E59" s="4" t="s">
        <v>101</v>
      </c>
      <c r="F59" s="8" t="s">
        <v>39</v>
      </c>
      <c r="G59" s="8">
        <v>4</v>
      </c>
      <c r="H59" s="9">
        <v>104</v>
      </c>
    </row>
    <row r="60" spans="1:8" ht="19.95" customHeight="1">
      <c r="A60" s="8">
        <f t="shared" si="0"/>
        <v>57</v>
      </c>
      <c r="B60" s="4" t="s">
        <v>136</v>
      </c>
      <c r="C60" s="4" t="s">
        <v>128</v>
      </c>
      <c r="D60" s="4" t="s">
        <v>132</v>
      </c>
      <c r="E60" s="4" t="s">
        <v>137</v>
      </c>
      <c r="F60" s="8" t="s">
        <v>134</v>
      </c>
      <c r="G60" s="8">
        <v>31</v>
      </c>
      <c r="H60" s="9">
        <v>102.3</v>
      </c>
    </row>
    <row r="61" spans="1:8" ht="19.95" customHeight="1">
      <c r="A61" s="8">
        <f t="shared" si="0"/>
        <v>58</v>
      </c>
      <c r="B61" s="4" t="s">
        <v>200</v>
      </c>
      <c r="C61" s="4" t="s">
        <v>162</v>
      </c>
      <c r="D61" s="4" t="s">
        <v>201</v>
      </c>
      <c r="E61" s="4" t="s">
        <v>202</v>
      </c>
      <c r="F61" s="8" t="s">
        <v>203</v>
      </c>
      <c r="G61" s="8">
        <v>5</v>
      </c>
      <c r="H61" s="9">
        <v>100</v>
      </c>
    </row>
    <row r="62" spans="1:8" ht="19.95" customHeight="1">
      <c r="A62" s="8">
        <f t="shared" si="0"/>
        <v>59</v>
      </c>
      <c r="B62" s="4" t="s">
        <v>102</v>
      </c>
      <c r="C62" s="4" t="s">
        <v>33</v>
      </c>
      <c r="D62" s="4" t="s">
        <v>65</v>
      </c>
      <c r="E62" s="4" t="s">
        <v>103</v>
      </c>
      <c r="F62" s="8" t="s">
        <v>39</v>
      </c>
      <c r="G62" s="8">
        <v>10</v>
      </c>
      <c r="H62" s="9">
        <v>96</v>
      </c>
    </row>
    <row r="63" spans="1:8" ht="19.95" customHeight="1">
      <c r="A63" s="8">
        <f t="shared" si="0"/>
        <v>60</v>
      </c>
      <c r="B63" s="4" t="s">
        <v>104</v>
      </c>
      <c r="C63" s="4" t="s">
        <v>33</v>
      </c>
      <c r="D63" s="4" t="s">
        <v>65</v>
      </c>
      <c r="E63" s="4" t="s">
        <v>105</v>
      </c>
      <c r="F63" s="8" t="s">
        <v>39</v>
      </c>
      <c r="G63" s="8">
        <v>3</v>
      </c>
      <c r="H63" s="9">
        <v>93.6</v>
      </c>
    </row>
    <row r="64" spans="1:8" ht="19.95" customHeight="1">
      <c r="A64" s="8">
        <f t="shared" si="0"/>
        <v>61</v>
      </c>
      <c r="B64" s="4" t="s">
        <v>204</v>
      </c>
      <c r="C64" s="4" t="s">
        <v>162</v>
      </c>
      <c r="D64" s="4" t="s">
        <v>201</v>
      </c>
      <c r="E64" s="4" t="s">
        <v>205</v>
      </c>
      <c r="F64" s="8" t="s">
        <v>160</v>
      </c>
      <c r="G64" s="8">
        <v>2</v>
      </c>
      <c r="H64" s="9">
        <v>85.2</v>
      </c>
    </row>
    <row r="65" spans="1:8" ht="19.95" customHeight="1">
      <c r="A65" s="8">
        <f t="shared" si="0"/>
        <v>62</v>
      </c>
      <c r="B65" s="4" t="s">
        <v>138</v>
      </c>
      <c r="C65" s="4" t="s">
        <v>128</v>
      </c>
      <c r="D65" s="4" t="s">
        <v>132</v>
      </c>
      <c r="E65" s="4" t="s">
        <v>133</v>
      </c>
      <c r="F65" s="8" t="s">
        <v>134</v>
      </c>
      <c r="G65" s="8">
        <v>9</v>
      </c>
      <c r="H65" s="9">
        <v>83.7</v>
      </c>
    </row>
    <row r="66" spans="1:8" ht="19.95" customHeight="1">
      <c r="A66" s="8">
        <f t="shared" si="0"/>
        <v>63</v>
      </c>
      <c r="B66" s="4" t="s">
        <v>149</v>
      </c>
      <c r="C66" s="4" t="s">
        <v>150</v>
      </c>
      <c r="D66" s="4" t="s">
        <v>151</v>
      </c>
      <c r="E66" s="4" t="s">
        <v>152</v>
      </c>
      <c r="F66" s="8" t="s">
        <v>153</v>
      </c>
      <c r="G66" s="8">
        <v>8</v>
      </c>
      <c r="H66" s="9">
        <v>78.400000000000006</v>
      </c>
    </row>
    <row r="67" spans="1:8" ht="19.95" customHeight="1">
      <c r="A67" s="8">
        <f t="shared" si="0"/>
        <v>64</v>
      </c>
      <c r="B67" s="4" t="s">
        <v>206</v>
      </c>
      <c r="C67" s="4" t="s">
        <v>162</v>
      </c>
      <c r="D67" s="4" t="s">
        <v>167</v>
      </c>
      <c r="E67" s="4" t="s">
        <v>207</v>
      </c>
      <c r="F67" s="8" t="s">
        <v>134</v>
      </c>
      <c r="G67" s="8">
        <v>2</v>
      </c>
      <c r="H67" s="9">
        <v>78</v>
      </c>
    </row>
    <row r="68" spans="1:8" ht="19.95" customHeight="1">
      <c r="A68" s="8">
        <f t="shared" si="0"/>
        <v>65</v>
      </c>
      <c r="B68" s="4" t="s">
        <v>106</v>
      </c>
      <c r="C68" s="4" t="s">
        <v>33</v>
      </c>
      <c r="D68" s="4" t="s">
        <v>33</v>
      </c>
      <c r="E68" s="4" t="s">
        <v>107</v>
      </c>
      <c r="F68" s="8" t="s">
        <v>35</v>
      </c>
      <c r="G68" s="8">
        <v>144</v>
      </c>
      <c r="H68" s="9">
        <v>77.760000000000005</v>
      </c>
    </row>
    <row r="69" spans="1:8" ht="19.95" customHeight="1">
      <c r="A69" s="8">
        <f t="shared" ref="A69:A109" si="1">ROW()-3</f>
        <v>66</v>
      </c>
      <c r="B69" s="4" t="s">
        <v>108</v>
      </c>
      <c r="C69" s="4" t="s">
        <v>33</v>
      </c>
      <c r="D69" s="4" t="s">
        <v>65</v>
      </c>
      <c r="E69" s="4" t="s">
        <v>91</v>
      </c>
      <c r="F69" s="8" t="s">
        <v>39</v>
      </c>
      <c r="G69" s="8">
        <v>4</v>
      </c>
      <c r="H69" s="9">
        <v>76.8</v>
      </c>
    </row>
    <row r="70" spans="1:8" ht="19.95" customHeight="1">
      <c r="A70" s="8">
        <f t="shared" si="1"/>
        <v>67</v>
      </c>
      <c r="B70" s="4" t="s">
        <v>109</v>
      </c>
      <c r="C70" s="4" t="s">
        <v>33</v>
      </c>
      <c r="D70" s="4" t="s">
        <v>33</v>
      </c>
      <c r="E70" s="4" t="s">
        <v>110</v>
      </c>
      <c r="F70" s="8" t="s">
        <v>35</v>
      </c>
      <c r="G70" s="8">
        <v>12</v>
      </c>
      <c r="H70" s="9">
        <v>75.599999999999994</v>
      </c>
    </row>
    <row r="71" spans="1:8" ht="19.95" customHeight="1">
      <c r="A71" s="8">
        <f t="shared" si="1"/>
        <v>68</v>
      </c>
      <c r="B71" s="4" t="s">
        <v>208</v>
      </c>
      <c r="C71" s="4" t="s">
        <v>162</v>
      </c>
      <c r="D71" s="4" t="s">
        <v>209</v>
      </c>
      <c r="E71" s="4" t="s">
        <v>210</v>
      </c>
      <c r="F71" s="8" t="s">
        <v>39</v>
      </c>
      <c r="G71" s="8">
        <v>1</v>
      </c>
      <c r="H71" s="9">
        <v>75.599999999999994</v>
      </c>
    </row>
    <row r="72" spans="1:8" ht="19.95" customHeight="1">
      <c r="A72" s="8">
        <f t="shared" si="1"/>
        <v>69</v>
      </c>
      <c r="B72" s="4" t="s">
        <v>211</v>
      </c>
      <c r="C72" s="4" t="s">
        <v>162</v>
      </c>
      <c r="D72" s="4" t="s">
        <v>201</v>
      </c>
      <c r="E72" s="4" t="s">
        <v>202</v>
      </c>
      <c r="F72" s="8" t="s">
        <v>203</v>
      </c>
      <c r="G72" s="8">
        <v>3</v>
      </c>
      <c r="H72" s="9">
        <v>75</v>
      </c>
    </row>
    <row r="73" spans="1:8" ht="19.95" customHeight="1">
      <c r="A73" s="8">
        <f t="shared" si="1"/>
        <v>70</v>
      </c>
      <c r="B73" s="4" t="s">
        <v>212</v>
      </c>
      <c r="C73" s="4" t="s">
        <v>162</v>
      </c>
      <c r="D73" s="4" t="s">
        <v>182</v>
      </c>
      <c r="E73" s="4" t="s">
        <v>213</v>
      </c>
      <c r="F73" s="8" t="s">
        <v>39</v>
      </c>
      <c r="G73" s="8">
        <v>2</v>
      </c>
      <c r="H73" s="9">
        <v>74</v>
      </c>
    </row>
    <row r="74" spans="1:8" ht="19.95" customHeight="1">
      <c r="A74" s="8">
        <f t="shared" si="1"/>
        <v>71</v>
      </c>
      <c r="B74" s="4" t="s">
        <v>214</v>
      </c>
      <c r="C74" s="4" t="s">
        <v>162</v>
      </c>
      <c r="D74" s="4" t="s">
        <v>182</v>
      </c>
      <c r="E74" s="4" t="s">
        <v>215</v>
      </c>
      <c r="F74" s="8" t="s">
        <v>39</v>
      </c>
      <c r="G74" s="8">
        <v>3</v>
      </c>
      <c r="H74" s="9">
        <v>72</v>
      </c>
    </row>
    <row r="75" spans="1:8" ht="19.95" customHeight="1">
      <c r="A75" s="8">
        <f t="shared" si="1"/>
        <v>72</v>
      </c>
      <c r="B75" s="4" t="s">
        <v>216</v>
      </c>
      <c r="C75" s="4" t="s">
        <v>162</v>
      </c>
      <c r="D75" s="4" t="s">
        <v>217</v>
      </c>
      <c r="E75" s="4" t="s">
        <v>218</v>
      </c>
      <c r="F75" s="8" t="s">
        <v>160</v>
      </c>
      <c r="G75" s="8">
        <v>2</v>
      </c>
      <c r="H75" s="9">
        <v>71.2</v>
      </c>
    </row>
    <row r="76" spans="1:8" ht="19.95" customHeight="1">
      <c r="A76" s="8">
        <f t="shared" si="1"/>
        <v>73</v>
      </c>
      <c r="B76" s="4" t="s">
        <v>247</v>
      </c>
      <c r="C76" s="4" t="s">
        <v>241</v>
      </c>
      <c r="D76" s="4" t="s">
        <v>248</v>
      </c>
      <c r="E76" s="4" t="s">
        <v>249</v>
      </c>
      <c r="F76" s="8" t="s">
        <v>134</v>
      </c>
      <c r="G76" s="8">
        <v>5</v>
      </c>
      <c r="H76" s="9">
        <v>65</v>
      </c>
    </row>
    <row r="77" spans="1:8" ht="19.95" customHeight="1">
      <c r="A77" s="8">
        <f t="shared" si="1"/>
        <v>74</v>
      </c>
      <c r="B77" s="4" t="s">
        <v>111</v>
      </c>
      <c r="C77" s="4" t="s">
        <v>33</v>
      </c>
      <c r="D77" s="4" t="s">
        <v>65</v>
      </c>
      <c r="E77" s="4" t="s">
        <v>78</v>
      </c>
      <c r="F77" s="8" t="s">
        <v>39</v>
      </c>
      <c r="G77" s="8">
        <v>2</v>
      </c>
      <c r="H77" s="9">
        <v>64</v>
      </c>
    </row>
    <row r="78" spans="1:8" ht="19.95" customHeight="1">
      <c r="A78" s="8">
        <f t="shared" si="1"/>
        <v>75</v>
      </c>
      <c r="B78" s="4" t="s">
        <v>219</v>
      </c>
      <c r="C78" s="4" t="s">
        <v>162</v>
      </c>
      <c r="D78" s="4" t="s">
        <v>209</v>
      </c>
      <c r="E78" s="4" t="s">
        <v>220</v>
      </c>
      <c r="F78" s="8" t="s">
        <v>172</v>
      </c>
      <c r="G78" s="8">
        <v>3</v>
      </c>
      <c r="H78" s="9">
        <v>62.7</v>
      </c>
    </row>
    <row r="79" spans="1:8" ht="19.95" customHeight="1">
      <c r="A79" s="8">
        <f t="shared" si="1"/>
        <v>76</v>
      </c>
      <c r="B79" s="4" t="s">
        <v>112</v>
      </c>
      <c r="C79" s="4" t="s">
        <v>33</v>
      </c>
      <c r="D79" s="4" t="s">
        <v>65</v>
      </c>
      <c r="E79" s="4" t="s">
        <v>91</v>
      </c>
      <c r="F79" s="8" t="s">
        <v>39</v>
      </c>
      <c r="G79" s="8">
        <v>1</v>
      </c>
      <c r="H79" s="9">
        <v>60</v>
      </c>
    </row>
    <row r="80" spans="1:8" ht="19.95" customHeight="1">
      <c r="A80" s="8">
        <f t="shared" si="1"/>
        <v>77</v>
      </c>
      <c r="B80" s="4" t="s">
        <v>113</v>
      </c>
      <c r="C80" s="4" t="s">
        <v>33</v>
      </c>
      <c r="D80" s="4" t="s">
        <v>33</v>
      </c>
      <c r="E80" s="4" t="s">
        <v>114</v>
      </c>
      <c r="F80" s="8" t="s">
        <v>35</v>
      </c>
      <c r="G80" s="8">
        <v>12</v>
      </c>
      <c r="H80" s="9">
        <v>60</v>
      </c>
    </row>
    <row r="81" spans="1:8" ht="19.95" customHeight="1">
      <c r="A81" s="8">
        <f t="shared" si="1"/>
        <v>78</v>
      </c>
      <c r="B81" s="4" t="s">
        <v>115</v>
      </c>
      <c r="C81" s="4" t="s">
        <v>33</v>
      </c>
      <c r="D81" s="4" t="s">
        <v>45</v>
      </c>
      <c r="E81" s="4" t="s">
        <v>82</v>
      </c>
      <c r="F81" s="8" t="s">
        <v>39</v>
      </c>
      <c r="G81" s="8">
        <v>2</v>
      </c>
      <c r="H81" s="9">
        <v>54</v>
      </c>
    </row>
    <row r="82" spans="1:8" ht="19.95" customHeight="1">
      <c r="A82" s="8">
        <f t="shared" si="1"/>
        <v>79</v>
      </c>
      <c r="B82" s="4" t="s">
        <v>116</v>
      </c>
      <c r="C82" s="4" t="s">
        <v>33</v>
      </c>
      <c r="D82" s="4" t="s">
        <v>37</v>
      </c>
      <c r="E82" s="4" t="s">
        <v>57</v>
      </c>
      <c r="F82" s="8" t="s">
        <v>39</v>
      </c>
      <c r="G82" s="8">
        <v>1</v>
      </c>
      <c r="H82" s="9">
        <v>54</v>
      </c>
    </row>
    <row r="83" spans="1:8" ht="19.95" customHeight="1">
      <c r="A83" s="8">
        <f t="shared" si="1"/>
        <v>80</v>
      </c>
      <c r="B83" s="4" t="s">
        <v>221</v>
      </c>
      <c r="C83" s="4" t="s">
        <v>162</v>
      </c>
      <c r="D83" s="4" t="s">
        <v>167</v>
      </c>
      <c r="E83" s="4" t="s">
        <v>222</v>
      </c>
      <c r="F83" s="8" t="s">
        <v>39</v>
      </c>
      <c r="G83" s="8">
        <v>1</v>
      </c>
      <c r="H83" s="9">
        <v>53</v>
      </c>
    </row>
    <row r="84" spans="1:8" ht="19.95" customHeight="1">
      <c r="A84" s="8">
        <f t="shared" si="1"/>
        <v>81</v>
      </c>
      <c r="B84" s="4" t="s">
        <v>117</v>
      </c>
      <c r="C84" s="4" t="s">
        <v>33</v>
      </c>
      <c r="D84" s="4" t="s">
        <v>65</v>
      </c>
      <c r="E84" s="4" t="s">
        <v>118</v>
      </c>
      <c r="F84" s="8" t="s">
        <v>39</v>
      </c>
      <c r="G84" s="8">
        <v>1</v>
      </c>
      <c r="H84" s="9">
        <v>50.4</v>
      </c>
    </row>
    <row r="85" spans="1:8" ht="19.95" customHeight="1">
      <c r="A85" s="8">
        <f t="shared" si="1"/>
        <v>82</v>
      </c>
      <c r="B85" s="4" t="s">
        <v>119</v>
      </c>
      <c r="C85" s="4" t="s">
        <v>33</v>
      </c>
      <c r="D85" s="4" t="s">
        <v>37</v>
      </c>
      <c r="E85" s="4" t="s">
        <v>120</v>
      </c>
      <c r="F85" s="8" t="s">
        <v>39</v>
      </c>
      <c r="G85" s="8">
        <v>2</v>
      </c>
      <c r="H85" s="9">
        <v>50.4</v>
      </c>
    </row>
    <row r="86" spans="1:8" ht="19.95" customHeight="1">
      <c r="A86" s="8">
        <f t="shared" si="1"/>
        <v>83</v>
      </c>
      <c r="B86" s="4" t="s">
        <v>223</v>
      </c>
      <c r="C86" s="4" t="s">
        <v>162</v>
      </c>
      <c r="D86" s="4" t="s">
        <v>224</v>
      </c>
      <c r="E86" s="4" t="s">
        <v>225</v>
      </c>
      <c r="F86" s="8" t="s">
        <v>39</v>
      </c>
      <c r="G86" s="8">
        <v>5</v>
      </c>
      <c r="H86" s="9">
        <v>48</v>
      </c>
    </row>
    <row r="87" spans="1:8" ht="19.95" customHeight="1">
      <c r="A87" s="8">
        <f t="shared" si="1"/>
        <v>84</v>
      </c>
      <c r="B87" s="4" t="s">
        <v>139</v>
      </c>
      <c r="C87" s="4" t="s">
        <v>128</v>
      </c>
      <c r="D87" s="4" t="s">
        <v>132</v>
      </c>
      <c r="E87" s="4" t="s">
        <v>140</v>
      </c>
      <c r="F87" s="8" t="s">
        <v>134</v>
      </c>
      <c r="G87" s="8">
        <v>6</v>
      </c>
      <c r="H87" s="9">
        <v>47.4</v>
      </c>
    </row>
    <row r="88" spans="1:8" ht="19.95" customHeight="1">
      <c r="A88" s="8">
        <f t="shared" si="1"/>
        <v>85</v>
      </c>
      <c r="B88" s="4" t="s">
        <v>121</v>
      </c>
      <c r="C88" s="4" t="s">
        <v>33</v>
      </c>
      <c r="D88" s="4" t="s">
        <v>65</v>
      </c>
      <c r="E88" s="4" t="s">
        <v>91</v>
      </c>
      <c r="F88" s="8" t="s">
        <v>39</v>
      </c>
      <c r="G88" s="8">
        <v>1</v>
      </c>
      <c r="H88" s="9">
        <v>45.6</v>
      </c>
    </row>
    <row r="89" spans="1:8" ht="19.95" customHeight="1">
      <c r="A89" s="8">
        <f t="shared" si="1"/>
        <v>86</v>
      </c>
      <c r="B89" s="4" t="s">
        <v>141</v>
      </c>
      <c r="C89" s="4" t="s">
        <v>128</v>
      </c>
      <c r="D89" s="4" t="s">
        <v>132</v>
      </c>
      <c r="E89" s="4" t="s">
        <v>133</v>
      </c>
      <c r="F89" s="8" t="s">
        <v>134</v>
      </c>
      <c r="G89" s="8">
        <v>9</v>
      </c>
      <c r="H89" s="9">
        <v>45</v>
      </c>
    </row>
    <row r="90" spans="1:8" ht="19.95" customHeight="1">
      <c r="A90" s="8">
        <f t="shared" si="1"/>
        <v>87</v>
      </c>
      <c r="B90" s="4" t="s">
        <v>122</v>
      </c>
      <c r="C90" s="4" t="s">
        <v>33</v>
      </c>
      <c r="D90" s="4" t="s">
        <v>65</v>
      </c>
      <c r="E90" s="4" t="s">
        <v>123</v>
      </c>
      <c r="F90" s="8" t="s">
        <v>39</v>
      </c>
      <c r="G90" s="8">
        <v>1</v>
      </c>
      <c r="H90" s="9">
        <v>40</v>
      </c>
    </row>
    <row r="91" spans="1:8" ht="19.95" customHeight="1">
      <c r="A91" s="8">
        <f t="shared" si="1"/>
        <v>88</v>
      </c>
      <c r="B91" s="4" t="s">
        <v>124</v>
      </c>
      <c r="C91" s="4" t="s">
        <v>33</v>
      </c>
      <c r="D91" s="4" t="s">
        <v>65</v>
      </c>
      <c r="E91" s="4" t="s">
        <v>91</v>
      </c>
      <c r="F91" s="8" t="s">
        <v>39</v>
      </c>
      <c r="G91" s="8">
        <v>2</v>
      </c>
      <c r="H91" s="9">
        <v>38.4</v>
      </c>
    </row>
    <row r="92" spans="1:8" ht="19.95" customHeight="1">
      <c r="A92" s="8">
        <f t="shared" si="1"/>
        <v>89</v>
      </c>
      <c r="B92" s="4" t="s">
        <v>125</v>
      </c>
      <c r="C92" s="4" t="s">
        <v>33</v>
      </c>
      <c r="D92" s="4" t="s">
        <v>65</v>
      </c>
      <c r="E92" s="4" t="s">
        <v>91</v>
      </c>
      <c r="F92" s="8" t="s">
        <v>39</v>
      </c>
      <c r="G92" s="8">
        <v>1</v>
      </c>
      <c r="H92" s="9">
        <v>38.4</v>
      </c>
    </row>
    <row r="93" spans="1:8" ht="19.95" customHeight="1">
      <c r="A93" s="8">
        <f t="shared" si="1"/>
        <v>90</v>
      </c>
      <c r="B93" s="4" t="s">
        <v>250</v>
      </c>
      <c r="C93" s="4" t="s">
        <v>241</v>
      </c>
      <c r="D93" s="4" t="s">
        <v>242</v>
      </c>
      <c r="E93" s="4" t="s">
        <v>251</v>
      </c>
      <c r="F93" s="8" t="s">
        <v>244</v>
      </c>
      <c r="G93" s="8">
        <v>2</v>
      </c>
      <c r="H93" s="9">
        <v>38</v>
      </c>
    </row>
    <row r="94" spans="1:8" ht="19.95" customHeight="1">
      <c r="A94" s="8">
        <f t="shared" si="1"/>
        <v>91</v>
      </c>
      <c r="B94" s="4" t="s">
        <v>226</v>
      </c>
      <c r="C94" s="4" t="s">
        <v>162</v>
      </c>
      <c r="D94" s="4" t="s">
        <v>201</v>
      </c>
      <c r="E94" s="4" t="s">
        <v>227</v>
      </c>
      <c r="F94" s="8" t="s">
        <v>203</v>
      </c>
      <c r="G94" s="8">
        <v>1</v>
      </c>
      <c r="H94" s="9">
        <v>37.9</v>
      </c>
    </row>
    <row r="95" spans="1:8" ht="19.95" customHeight="1">
      <c r="A95" s="8">
        <f t="shared" si="1"/>
        <v>92</v>
      </c>
      <c r="B95" s="4" t="s">
        <v>154</v>
      </c>
      <c r="C95" s="4" t="s">
        <v>150</v>
      </c>
      <c r="D95" s="4" t="s">
        <v>155</v>
      </c>
      <c r="E95" s="4" t="s">
        <v>156</v>
      </c>
      <c r="F95" s="8" t="s">
        <v>157</v>
      </c>
      <c r="G95" s="8">
        <v>6</v>
      </c>
      <c r="H95" s="9">
        <v>36.6</v>
      </c>
    </row>
    <row r="96" spans="1:8" ht="19.95" customHeight="1">
      <c r="A96" s="8">
        <f t="shared" si="1"/>
        <v>93</v>
      </c>
      <c r="B96" s="4" t="s">
        <v>228</v>
      </c>
      <c r="C96" s="4" t="s">
        <v>162</v>
      </c>
      <c r="D96" s="4" t="s">
        <v>201</v>
      </c>
      <c r="E96" s="4" t="s">
        <v>229</v>
      </c>
      <c r="F96" s="8" t="s">
        <v>203</v>
      </c>
      <c r="G96" s="8">
        <v>2</v>
      </c>
      <c r="H96" s="9">
        <v>36</v>
      </c>
    </row>
    <row r="97" spans="1:8" ht="19.95" customHeight="1">
      <c r="A97" s="8">
        <f t="shared" si="1"/>
        <v>94</v>
      </c>
      <c r="B97" s="4" t="s">
        <v>230</v>
      </c>
      <c r="C97" s="4" t="s">
        <v>162</v>
      </c>
      <c r="D97" s="4" t="s">
        <v>231</v>
      </c>
      <c r="E97" s="4" t="s">
        <v>232</v>
      </c>
      <c r="F97" s="8" t="s">
        <v>172</v>
      </c>
      <c r="G97" s="8">
        <v>8</v>
      </c>
      <c r="H97" s="9">
        <v>34.4</v>
      </c>
    </row>
    <row r="98" spans="1:8" ht="19.95" customHeight="1">
      <c r="A98" s="8">
        <f t="shared" si="1"/>
        <v>95</v>
      </c>
      <c r="B98" s="4" t="s">
        <v>142</v>
      </c>
      <c r="C98" s="4" t="s">
        <v>128</v>
      </c>
      <c r="D98" s="4" t="s">
        <v>132</v>
      </c>
      <c r="E98" s="4" t="s">
        <v>137</v>
      </c>
      <c r="F98" s="8" t="s">
        <v>134</v>
      </c>
      <c r="G98" s="8">
        <v>5</v>
      </c>
      <c r="H98" s="9">
        <v>31.5</v>
      </c>
    </row>
    <row r="99" spans="1:8" ht="19.95" customHeight="1">
      <c r="A99" s="8">
        <f t="shared" si="1"/>
        <v>96</v>
      </c>
      <c r="B99" s="4" t="s">
        <v>233</v>
      </c>
      <c r="C99" s="4" t="s">
        <v>162</v>
      </c>
      <c r="D99" s="4" t="s">
        <v>167</v>
      </c>
      <c r="E99" s="4" t="s">
        <v>234</v>
      </c>
      <c r="F99" s="8" t="s">
        <v>235</v>
      </c>
      <c r="G99" s="8">
        <v>1</v>
      </c>
      <c r="H99" s="9">
        <v>30.8</v>
      </c>
    </row>
    <row r="100" spans="1:8" ht="19.95" customHeight="1">
      <c r="A100" s="8">
        <f t="shared" si="1"/>
        <v>97</v>
      </c>
      <c r="B100" s="4" t="s">
        <v>126</v>
      </c>
      <c r="C100" s="4" t="s">
        <v>33</v>
      </c>
      <c r="D100" s="4" t="s">
        <v>45</v>
      </c>
      <c r="E100" s="4" t="s">
        <v>80</v>
      </c>
      <c r="F100" s="8" t="s">
        <v>39</v>
      </c>
      <c r="G100" s="8">
        <v>1</v>
      </c>
      <c r="H100" s="9">
        <v>28.8</v>
      </c>
    </row>
    <row r="101" spans="1:8" ht="19.95" customHeight="1">
      <c r="A101" s="8">
        <f t="shared" si="1"/>
        <v>98</v>
      </c>
      <c r="B101" s="4" t="s">
        <v>158</v>
      </c>
      <c r="C101" s="4" t="s">
        <v>150</v>
      </c>
      <c r="D101" s="4" t="s">
        <v>155</v>
      </c>
      <c r="E101" s="4" t="s">
        <v>159</v>
      </c>
      <c r="F101" s="8" t="s">
        <v>160</v>
      </c>
      <c r="G101" s="8">
        <v>5</v>
      </c>
      <c r="H101" s="9">
        <v>24</v>
      </c>
    </row>
    <row r="102" spans="1:8" ht="19.95" customHeight="1">
      <c r="A102" s="8">
        <f t="shared" si="1"/>
        <v>99</v>
      </c>
      <c r="B102" s="4" t="s">
        <v>252</v>
      </c>
      <c r="C102" s="4" t="s">
        <v>241</v>
      </c>
      <c r="D102" s="4" t="s">
        <v>248</v>
      </c>
      <c r="E102" s="4" t="s">
        <v>253</v>
      </c>
      <c r="F102" s="8" t="s">
        <v>203</v>
      </c>
      <c r="G102" s="8">
        <v>2</v>
      </c>
      <c r="H102" s="9">
        <v>23</v>
      </c>
    </row>
    <row r="103" spans="1:8" ht="19.95" customHeight="1">
      <c r="A103" s="8">
        <f t="shared" si="1"/>
        <v>100</v>
      </c>
      <c r="B103" s="4" t="s">
        <v>254</v>
      </c>
      <c r="C103" s="4" t="s">
        <v>241</v>
      </c>
      <c r="D103" s="4" t="s">
        <v>248</v>
      </c>
      <c r="E103" s="4" t="s">
        <v>253</v>
      </c>
      <c r="F103" s="8" t="s">
        <v>203</v>
      </c>
      <c r="G103" s="8">
        <v>2</v>
      </c>
      <c r="H103" s="9">
        <v>23</v>
      </c>
    </row>
    <row r="104" spans="1:8" ht="19.95" customHeight="1">
      <c r="A104" s="8">
        <f t="shared" si="1"/>
        <v>101</v>
      </c>
      <c r="B104" s="4" t="s">
        <v>143</v>
      </c>
      <c r="C104" s="4" t="s">
        <v>128</v>
      </c>
      <c r="D104" s="4" t="s">
        <v>132</v>
      </c>
      <c r="E104" s="4" t="s">
        <v>144</v>
      </c>
      <c r="F104" s="8" t="s">
        <v>134</v>
      </c>
      <c r="G104" s="8">
        <v>3</v>
      </c>
      <c r="H104" s="9">
        <v>22.5</v>
      </c>
    </row>
    <row r="105" spans="1:8" ht="19.95" customHeight="1">
      <c r="A105" s="8">
        <f t="shared" si="1"/>
        <v>102</v>
      </c>
      <c r="B105" s="4" t="s">
        <v>236</v>
      </c>
      <c r="C105" s="4" t="s">
        <v>162</v>
      </c>
      <c r="D105" s="4" t="s">
        <v>167</v>
      </c>
      <c r="E105" s="4" t="s">
        <v>237</v>
      </c>
      <c r="F105" s="8" t="s">
        <v>39</v>
      </c>
      <c r="G105" s="8">
        <v>1</v>
      </c>
      <c r="H105" s="9">
        <v>17.8</v>
      </c>
    </row>
    <row r="106" spans="1:8" ht="19.95" customHeight="1">
      <c r="A106" s="8">
        <f t="shared" si="1"/>
        <v>103</v>
      </c>
      <c r="B106" s="4" t="s">
        <v>145</v>
      </c>
      <c r="C106" s="4" t="s">
        <v>128</v>
      </c>
      <c r="D106" s="4" t="s">
        <v>132</v>
      </c>
      <c r="E106" s="4" t="s">
        <v>146</v>
      </c>
      <c r="F106" s="8" t="s">
        <v>134</v>
      </c>
      <c r="G106" s="8">
        <v>3</v>
      </c>
      <c r="H106" s="9">
        <v>17.100000000000001</v>
      </c>
    </row>
    <row r="107" spans="1:8" ht="19.95" customHeight="1">
      <c r="A107" s="8">
        <f t="shared" si="1"/>
        <v>104</v>
      </c>
      <c r="B107" s="4" t="s">
        <v>255</v>
      </c>
      <c r="C107" s="4" t="s">
        <v>241</v>
      </c>
      <c r="D107" s="4" t="s">
        <v>248</v>
      </c>
      <c r="E107" s="4" t="s">
        <v>256</v>
      </c>
      <c r="F107" s="8" t="s">
        <v>39</v>
      </c>
      <c r="G107" s="8">
        <v>1</v>
      </c>
      <c r="H107" s="9">
        <v>13.7</v>
      </c>
    </row>
    <row r="108" spans="1:8" ht="19.95" customHeight="1">
      <c r="A108" s="8">
        <f t="shared" si="1"/>
        <v>105</v>
      </c>
      <c r="B108" s="4" t="s">
        <v>147</v>
      </c>
      <c r="C108" s="4" t="s">
        <v>128</v>
      </c>
      <c r="D108" s="4" t="s">
        <v>129</v>
      </c>
      <c r="E108" s="4" t="s">
        <v>148</v>
      </c>
      <c r="F108" s="8" t="s">
        <v>134</v>
      </c>
      <c r="G108" s="8">
        <v>3</v>
      </c>
      <c r="H108" s="9">
        <v>12.3</v>
      </c>
    </row>
    <row r="109" spans="1:8" ht="19.95" customHeight="1">
      <c r="A109" s="8">
        <f t="shared" si="1"/>
        <v>106</v>
      </c>
      <c r="B109" s="4" t="s">
        <v>238</v>
      </c>
      <c r="C109" s="4" t="s">
        <v>162</v>
      </c>
      <c r="D109" s="4" t="s">
        <v>167</v>
      </c>
      <c r="E109" s="4" t="s">
        <v>239</v>
      </c>
      <c r="F109" s="8" t="s">
        <v>235</v>
      </c>
      <c r="G109" s="8">
        <v>3</v>
      </c>
      <c r="H109" s="9">
        <v>11.1</v>
      </c>
    </row>
  </sheetData>
  <sortState xmlns:xlrd2="http://schemas.microsoft.com/office/spreadsheetml/2017/richdata2" ref="A3:H110">
    <sortCondition descending="1" ref="H3"/>
  </sortState>
  <mergeCells count="2">
    <mergeCell ref="A1:H1"/>
    <mergeCell ref="A3:F3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配送门店业绩表 5.25-5.31</vt:lpstr>
      <vt:lpstr>送门店货品对比表及各商品大类销售排行表 5.25-5.31</vt:lpstr>
      <vt:lpstr>送门店货品销售排行表 5.25-5.31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伟城 陈</cp:lastModifiedBy>
  <cp:lastPrinted>2026-06-04T03:18:10Z</cp:lastPrinted>
  <dcterms:created xsi:type="dcterms:W3CDTF">2026-05-31T22:25:00Z</dcterms:created>
  <dcterms:modified xsi:type="dcterms:W3CDTF">2026-06-05T08:24:55Z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ICV">
    <vt:lpwstr>7E7ADE1FF7BE4A71B2CA8A45B1BDB6F3_13</vt:lpwstr>
  </property>
  <property fmtid="{D5CDD505-2E9C-101B-9397-08002B2CF9AE}" pid="5" name="KSOProductBuildVer">
    <vt:lpwstr>2052-12.1.0.26375</vt:lpwstr>
  </property>
  <property fmtid="{D5CDD505-2E9C-101B-9397-08002B2CF9AE}" pid="6" name="CalculationRule">
    <vt:i4>0</vt:i4>
  </property>
</Properties>
</file>