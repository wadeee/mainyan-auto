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70B07ACC-CEA9-48E7-956E-404F5799DAB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2026年6月东方宝泰店营业额明细统计表" sheetId="1" r:id="rId1"/>
  </sheets>
  <calcPr calcId="191029"/>
</workbook>
</file>

<file path=xl/calcChain.xml><?xml version="1.0" encoding="utf-8"?>
<calcChain xmlns="http://schemas.openxmlformats.org/spreadsheetml/2006/main">
  <c r="H6" i="1" l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5" i="1"/>
  <c r="H36" i="1" l="1"/>
  <c r="G36" i="1"/>
  <c r="AF36" i="1"/>
  <c r="BD36" i="1"/>
  <c r="BE36" i="1"/>
  <c r="BF36" i="1"/>
  <c r="BH36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5" i="1"/>
  <c r="BG36" i="1" s="1"/>
  <c r="AL6" i="1" l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5" i="1"/>
  <c r="L10" i="1"/>
  <c r="BJ10" i="1" s="1"/>
  <c r="BC36" i="1"/>
  <c r="BA36" i="1"/>
  <c r="AZ36" i="1"/>
  <c r="AY36" i="1"/>
  <c r="AX36" i="1"/>
  <c r="AW36" i="1"/>
  <c r="AU36" i="1"/>
  <c r="AT36" i="1"/>
  <c r="AS36" i="1"/>
  <c r="AQ36" i="1"/>
  <c r="AP36" i="1"/>
  <c r="AO36" i="1"/>
  <c r="AN36" i="1"/>
  <c r="AM36" i="1"/>
  <c r="AK36" i="1"/>
  <c r="AJ36" i="1"/>
  <c r="AI36" i="1"/>
  <c r="AH36" i="1"/>
  <c r="AG36" i="1"/>
  <c r="AE36" i="1"/>
  <c r="AD36" i="1"/>
  <c r="AC36" i="1"/>
  <c r="AB36" i="1"/>
  <c r="AA36" i="1"/>
  <c r="Z36" i="1"/>
  <c r="Y36" i="1"/>
  <c r="X36" i="1"/>
  <c r="W36" i="1"/>
  <c r="V36" i="1"/>
  <c r="T36" i="1"/>
  <c r="R36" i="1"/>
  <c r="Q36" i="1"/>
  <c r="P36" i="1"/>
  <c r="O36" i="1"/>
  <c r="M36" i="1"/>
  <c r="K36" i="1"/>
  <c r="J36" i="1"/>
  <c r="I36" i="1"/>
  <c r="F36" i="1"/>
  <c r="E36" i="1"/>
  <c r="A36" i="1"/>
  <c r="BB35" i="1"/>
  <c r="AV35" i="1"/>
  <c r="AR35" i="1"/>
  <c r="S35" i="1"/>
  <c r="U35" i="1" s="1"/>
  <c r="L35" i="1"/>
  <c r="D35" i="1"/>
  <c r="A35" i="1"/>
  <c r="BB34" i="1"/>
  <c r="AV34" i="1"/>
  <c r="AR34" i="1"/>
  <c r="S34" i="1"/>
  <c r="U34" i="1" s="1"/>
  <c r="L34" i="1"/>
  <c r="D34" i="1"/>
  <c r="A34" i="1"/>
  <c r="BB33" i="1"/>
  <c r="AV33" i="1"/>
  <c r="AR33" i="1"/>
  <c r="S33" i="1"/>
  <c r="U33" i="1" s="1"/>
  <c r="L33" i="1"/>
  <c r="D33" i="1"/>
  <c r="A33" i="1"/>
  <c r="BB32" i="1"/>
  <c r="AV32" i="1"/>
  <c r="AR32" i="1"/>
  <c r="S32" i="1"/>
  <c r="L32" i="1"/>
  <c r="D32" i="1"/>
  <c r="A32" i="1"/>
  <c r="BB31" i="1"/>
  <c r="AV31" i="1"/>
  <c r="AR31" i="1"/>
  <c r="S31" i="1"/>
  <c r="U31" i="1" s="1"/>
  <c r="L31" i="1"/>
  <c r="D31" i="1"/>
  <c r="A31" i="1"/>
  <c r="BB30" i="1"/>
  <c r="AV30" i="1"/>
  <c r="AR30" i="1"/>
  <c r="S30" i="1"/>
  <c r="U30" i="1" s="1"/>
  <c r="L30" i="1"/>
  <c r="D30" i="1"/>
  <c r="A30" i="1"/>
  <c r="BB29" i="1"/>
  <c r="AV29" i="1"/>
  <c r="AR29" i="1"/>
  <c r="S29" i="1"/>
  <c r="U29" i="1" s="1"/>
  <c r="L29" i="1"/>
  <c r="D29" i="1"/>
  <c r="A29" i="1"/>
  <c r="BB28" i="1"/>
  <c r="AV28" i="1"/>
  <c r="AR28" i="1"/>
  <c r="S28" i="1"/>
  <c r="U28" i="1" s="1"/>
  <c r="L28" i="1"/>
  <c r="D28" i="1"/>
  <c r="A28" i="1"/>
  <c r="BB27" i="1"/>
  <c r="AV27" i="1"/>
  <c r="AR27" i="1"/>
  <c r="S27" i="1"/>
  <c r="U27" i="1" s="1"/>
  <c r="L27" i="1"/>
  <c r="D27" i="1"/>
  <c r="A27" i="1"/>
  <c r="BB26" i="1"/>
  <c r="AV26" i="1"/>
  <c r="AR26" i="1"/>
  <c r="S26" i="1"/>
  <c r="U26" i="1" s="1"/>
  <c r="L26" i="1"/>
  <c r="D26" i="1"/>
  <c r="A26" i="1"/>
  <c r="BB25" i="1"/>
  <c r="AV25" i="1"/>
  <c r="AR25" i="1"/>
  <c r="S25" i="1"/>
  <c r="U25" i="1" s="1"/>
  <c r="L25" i="1"/>
  <c r="D25" i="1"/>
  <c r="A25" i="1"/>
  <c r="BB24" i="1"/>
  <c r="AV24" i="1"/>
  <c r="AR24" i="1"/>
  <c r="S24" i="1"/>
  <c r="L24" i="1"/>
  <c r="D24" i="1"/>
  <c r="A24" i="1"/>
  <c r="BB23" i="1"/>
  <c r="AV23" i="1"/>
  <c r="AR23" i="1"/>
  <c r="S23" i="1"/>
  <c r="U23" i="1" s="1"/>
  <c r="L23" i="1"/>
  <c r="D23" i="1"/>
  <c r="A23" i="1"/>
  <c r="BB22" i="1"/>
  <c r="AV22" i="1"/>
  <c r="AR22" i="1"/>
  <c r="S22" i="1"/>
  <c r="U22" i="1" s="1"/>
  <c r="L22" i="1"/>
  <c r="BJ22" i="1" s="1"/>
  <c r="D22" i="1"/>
  <c r="A22" i="1"/>
  <c r="BB21" i="1"/>
  <c r="AV21" i="1"/>
  <c r="AR21" i="1"/>
  <c r="S21" i="1"/>
  <c r="U21" i="1" s="1"/>
  <c r="L21" i="1"/>
  <c r="D21" i="1"/>
  <c r="A21" i="1"/>
  <c r="BB20" i="1"/>
  <c r="AV20" i="1"/>
  <c r="AR20" i="1"/>
  <c r="S20" i="1"/>
  <c r="L20" i="1"/>
  <c r="D20" i="1"/>
  <c r="A20" i="1"/>
  <c r="BB19" i="1"/>
  <c r="AV19" i="1"/>
  <c r="AR19" i="1"/>
  <c r="S19" i="1"/>
  <c r="U19" i="1" s="1"/>
  <c r="L19" i="1"/>
  <c r="D19" i="1"/>
  <c r="A19" i="1"/>
  <c r="BB18" i="1"/>
  <c r="AV18" i="1"/>
  <c r="AR18" i="1"/>
  <c r="S18" i="1"/>
  <c r="U18" i="1" s="1"/>
  <c r="L18" i="1"/>
  <c r="BJ18" i="1" s="1"/>
  <c r="D18" i="1"/>
  <c r="A18" i="1"/>
  <c r="BB17" i="1"/>
  <c r="AV17" i="1"/>
  <c r="AR17" i="1"/>
  <c r="S17" i="1"/>
  <c r="U17" i="1" s="1"/>
  <c r="L17" i="1"/>
  <c r="D17" i="1"/>
  <c r="A17" i="1"/>
  <c r="BB16" i="1"/>
  <c r="AV16" i="1"/>
  <c r="AR16" i="1"/>
  <c r="S16" i="1"/>
  <c r="L16" i="1"/>
  <c r="D16" i="1"/>
  <c r="A16" i="1"/>
  <c r="BB15" i="1"/>
  <c r="AV15" i="1"/>
  <c r="AR15" i="1"/>
  <c r="S15" i="1"/>
  <c r="U15" i="1" s="1"/>
  <c r="L15" i="1"/>
  <c r="D15" i="1"/>
  <c r="A15" i="1"/>
  <c r="BB14" i="1"/>
  <c r="AV14" i="1"/>
  <c r="AR14" i="1"/>
  <c r="S14" i="1"/>
  <c r="U14" i="1" s="1"/>
  <c r="L14" i="1"/>
  <c r="D14" i="1"/>
  <c r="A14" i="1"/>
  <c r="BB13" i="1"/>
  <c r="AV13" i="1"/>
  <c r="AR13" i="1"/>
  <c r="S13" i="1"/>
  <c r="U13" i="1" s="1"/>
  <c r="L13" i="1"/>
  <c r="D13" i="1"/>
  <c r="A13" i="1"/>
  <c r="BB12" i="1"/>
  <c r="AV12" i="1"/>
  <c r="AR12" i="1"/>
  <c r="S12" i="1"/>
  <c r="U12" i="1" s="1"/>
  <c r="L12" i="1"/>
  <c r="D12" i="1"/>
  <c r="A12" i="1"/>
  <c r="BB11" i="1"/>
  <c r="AV11" i="1"/>
  <c r="AR11" i="1"/>
  <c r="S11" i="1"/>
  <c r="U11" i="1" s="1"/>
  <c r="L11" i="1"/>
  <c r="D11" i="1"/>
  <c r="A11" i="1"/>
  <c r="BB10" i="1"/>
  <c r="AV10" i="1"/>
  <c r="AR10" i="1"/>
  <c r="S10" i="1"/>
  <c r="U10" i="1" s="1"/>
  <c r="D10" i="1"/>
  <c r="A10" i="1"/>
  <c r="BB9" i="1"/>
  <c r="AV9" i="1"/>
  <c r="AR9" i="1"/>
  <c r="S9" i="1"/>
  <c r="U9" i="1" s="1"/>
  <c r="L9" i="1"/>
  <c r="D9" i="1"/>
  <c r="A9" i="1"/>
  <c r="BB8" i="1"/>
  <c r="AV8" i="1"/>
  <c r="AR8" i="1"/>
  <c r="S8" i="1"/>
  <c r="L8" i="1"/>
  <c r="D8" i="1"/>
  <c r="A8" i="1"/>
  <c r="BB7" i="1"/>
  <c r="AV7" i="1"/>
  <c r="AR7" i="1"/>
  <c r="S7" i="1"/>
  <c r="U7" i="1" s="1"/>
  <c r="L7" i="1"/>
  <c r="D7" i="1"/>
  <c r="A7" i="1"/>
  <c r="BB6" i="1"/>
  <c r="AV6" i="1"/>
  <c r="AR6" i="1"/>
  <c r="S6" i="1"/>
  <c r="L6" i="1"/>
  <c r="D6" i="1"/>
  <c r="A6" i="1"/>
  <c r="BB5" i="1"/>
  <c r="AV5" i="1"/>
  <c r="AR5" i="1"/>
  <c r="S5" i="1"/>
  <c r="U5" i="1" s="1"/>
  <c r="L5" i="1"/>
  <c r="D5" i="1"/>
  <c r="A5" i="1"/>
  <c r="N19" i="1" l="1"/>
  <c r="BI19" i="1" s="1"/>
  <c r="BJ19" i="1"/>
  <c r="N35" i="1"/>
  <c r="BI35" i="1" s="1"/>
  <c r="BJ35" i="1"/>
  <c r="BJ26" i="1"/>
  <c r="N21" i="1"/>
  <c r="BI21" i="1" s="1"/>
  <c r="BJ21" i="1"/>
  <c r="N5" i="1"/>
  <c r="BI5" i="1" s="1"/>
  <c r="BJ5" i="1"/>
  <c r="N28" i="1"/>
  <c r="BI28" i="1" s="1"/>
  <c r="BJ28" i="1"/>
  <c r="N17" i="1"/>
  <c r="BI17" i="1" s="1"/>
  <c r="BJ17" i="1"/>
  <c r="N33" i="1"/>
  <c r="BI33" i="1" s="1"/>
  <c r="BJ33" i="1"/>
  <c r="N12" i="1"/>
  <c r="BI12" i="1" s="1"/>
  <c r="BJ12" i="1"/>
  <c r="N24" i="1"/>
  <c r="BJ24" i="1"/>
  <c r="N8" i="1"/>
  <c r="BJ8" i="1"/>
  <c r="N15" i="1"/>
  <c r="BI15" i="1" s="1"/>
  <c r="BJ15" i="1"/>
  <c r="N31" i="1"/>
  <c r="BI31" i="1" s="1"/>
  <c r="BJ31" i="1"/>
  <c r="BJ6" i="1"/>
  <c r="N13" i="1"/>
  <c r="BI13" i="1" s="1"/>
  <c r="BJ13" i="1"/>
  <c r="N29" i="1"/>
  <c r="BI29" i="1" s="1"/>
  <c r="BJ29" i="1"/>
  <c r="N20" i="1"/>
  <c r="BI20" i="1" s="1"/>
  <c r="BJ20" i="1"/>
  <c r="N11" i="1"/>
  <c r="BI11" i="1" s="1"/>
  <c r="BJ11" i="1"/>
  <c r="N27" i="1"/>
  <c r="BI27" i="1" s="1"/>
  <c r="BJ27" i="1"/>
  <c r="BJ34" i="1"/>
  <c r="N25" i="1"/>
  <c r="BI25" i="1" s="1"/>
  <c r="BJ25" i="1"/>
  <c r="N32" i="1"/>
  <c r="BI32" i="1" s="1"/>
  <c r="BJ32" i="1"/>
  <c r="BJ23" i="1"/>
  <c r="N9" i="1"/>
  <c r="BI9" i="1" s="1"/>
  <c r="BJ9" i="1"/>
  <c r="N16" i="1"/>
  <c r="BI16" i="1" s="1"/>
  <c r="BJ16" i="1"/>
  <c r="BJ7" i="1"/>
  <c r="BJ14" i="1"/>
  <c r="BJ30" i="1"/>
  <c r="AR36" i="1"/>
  <c r="U20" i="1"/>
  <c r="S36" i="1"/>
  <c r="AL36" i="1"/>
  <c r="U16" i="1"/>
  <c r="U32" i="1"/>
  <c r="BB36" i="1"/>
  <c r="U24" i="1"/>
  <c r="L36" i="1"/>
  <c r="N23" i="1"/>
  <c r="BI23" i="1" s="1"/>
  <c r="AV36" i="1"/>
  <c r="U8" i="1"/>
  <c r="D36" i="1"/>
  <c r="N30" i="1"/>
  <c r="BI30" i="1" s="1"/>
  <c r="N34" i="1"/>
  <c r="BI34" i="1" s="1"/>
  <c r="N22" i="1"/>
  <c r="BI22" i="1" s="1"/>
  <c r="N7" i="1"/>
  <c r="BI7" i="1" s="1"/>
  <c r="U6" i="1"/>
  <c r="N6" i="1"/>
  <c r="BI6" i="1" s="1"/>
  <c r="N10" i="1"/>
  <c r="BI10" i="1" s="1"/>
  <c r="N14" i="1"/>
  <c r="BI14" i="1" s="1"/>
  <c r="N18" i="1"/>
  <c r="BI18" i="1" s="1"/>
  <c r="N26" i="1"/>
  <c r="BI26" i="1" s="1"/>
  <c r="BI8" i="1" l="1"/>
  <c r="BI24" i="1"/>
  <c r="U36" i="1"/>
  <c r="BJ36" i="1"/>
  <c r="N36" i="1"/>
  <c r="BI36" i="1"/>
</calcChain>
</file>

<file path=xl/sharedStrings.xml><?xml version="1.0" encoding="utf-8"?>
<sst xmlns="http://schemas.openxmlformats.org/spreadsheetml/2006/main" count="135" uniqueCount="109">
  <si>
    <t>序号</t>
  </si>
  <si>
    <t>日期</t>
  </si>
  <si>
    <t>现金</t>
  </si>
  <si>
    <t>现金充值</t>
  </si>
  <si>
    <t>银豹收银系统后台收入</t>
  </si>
  <si>
    <t>总营业实收</t>
  </si>
  <si>
    <t>总销售额</t>
  </si>
  <si>
    <t>备注</t>
  </si>
  <si>
    <t>银豹付（支付宝、微信）</t>
  </si>
  <si>
    <t>银豹付微信</t>
  </si>
  <si>
    <t>充值金额</t>
  </si>
  <si>
    <t>储值卡充值赠送金额</t>
  </si>
  <si>
    <t>会员卡本金消费金额</t>
  </si>
  <si>
    <t>会员卡赠送消费金额</t>
  </si>
  <si>
    <t>预付卡支付</t>
  </si>
  <si>
    <t>代金券</t>
  </si>
  <si>
    <t>支付补单</t>
  </si>
  <si>
    <t>美团外卖后台</t>
  </si>
  <si>
    <t>美团优惠系统后台</t>
  </si>
  <si>
    <t>饿了么外卖后台</t>
  </si>
  <si>
    <t>招商优惠券（招商后台）</t>
  </si>
  <si>
    <t>银豹付</t>
  </si>
  <si>
    <t>退款金额</t>
  </si>
  <si>
    <t>银豹付合计金额</t>
  </si>
  <si>
    <t>微信小程序充值</t>
  </si>
  <si>
    <t>微信金额</t>
  </si>
  <si>
    <t>合计微信金额</t>
  </si>
  <si>
    <t>美团外卖金额</t>
  </si>
  <si>
    <t>打包费</t>
  </si>
  <si>
    <t>商家对顾客的活动补贴（美团后台）</t>
  </si>
  <si>
    <t>佣金</t>
  </si>
  <si>
    <t>配送服务费</t>
  </si>
  <si>
    <t>美团金额</t>
  </si>
  <si>
    <t>促销费</t>
  </si>
  <si>
    <t>平台服务费</t>
  </si>
  <si>
    <t>其他费用（美团食品保险）</t>
  </si>
  <si>
    <t>饿了么金额</t>
  </si>
  <si>
    <t>其他类（饿了么食品保险费）</t>
  </si>
  <si>
    <t>应收金额</t>
  </si>
  <si>
    <t>实收金额
（入账工行尾号3984）</t>
  </si>
  <si>
    <t>抖音金额</t>
  </si>
  <si>
    <t>2026.6.1</t>
  </si>
  <si>
    <t>星期一</t>
  </si>
  <si>
    <t>2026.6.2</t>
  </si>
  <si>
    <t>星期二</t>
  </si>
  <si>
    <t>2026.6.3</t>
  </si>
  <si>
    <t>星期三</t>
  </si>
  <si>
    <t>2026.6.4</t>
  </si>
  <si>
    <t>星期四</t>
  </si>
  <si>
    <t>2026.6.5</t>
  </si>
  <si>
    <t>星期五</t>
  </si>
  <si>
    <t>2026.6.6</t>
  </si>
  <si>
    <t>星期六</t>
  </si>
  <si>
    <t>2026.6.7</t>
  </si>
  <si>
    <t>星期日</t>
  </si>
  <si>
    <t>2026.6.8</t>
  </si>
  <si>
    <t>2026.6.9</t>
  </si>
  <si>
    <t>2026.6.10</t>
  </si>
  <si>
    <t>2026.6.11</t>
  </si>
  <si>
    <t>2026.6.12</t>
  </si>
  <si>
    <t>2026.6.13</t>
  </si>
  <si>
    <t>2026.6.14</t>
  </si>
  <si>
    <t>2026.6.15</t>
  </si>
  <si>
    <t>2026.6.16</t>
  </si>
  <si>
    <t>2026.6.17</t>
  </si>
  <si>
    <t>2026.6.18</t>
  </si>
  <si>
    <t>2026.6.19</t>
  </si>
  <si>
    <t>2026.6.20</t>
  </si>
  <si>
    <t>2026.6.21</t>
  </si>
  <si>
    <t>2026.6.22</t>
  </si>
  <si>
    <t>2026.6.23</t>
  </si>
  <si>
    <t>2026.6.24</t>
  </si>
  <si>
    <t>2026.6.25</t>
  </si>
  <si>
    <t>2026.6.26</t>
  </si>
  <si>
    <t>2026.6.27</t>
  </si>
  <si>
    <t>2026.6.28</t>
  </si>
  <si>
    <t>2026.6.29</t>
  </si>
  <si>
    <t>2026.6.30</t>
  </si>
  <si>
    <t>合计</t>
  </si>
  <si>
    <t>2026年6月麦安研东方宝泰店营业额明细统计表</t>
  </si>
  <si>
    <t>存现（农行0174尾号）</t>
  </si>
  <si>
    <t>银豹预付卡/礼品卡销售金额</t>
  </si>
  <si>
    <t>抖音-卷(抖音后台）</t>
  </si>
  <si>
    <t>手续费0.0028</t>
  </si>
  <si>
    <t>应收金额（入账邮政银行4577尾号）T+1</t>
  </si>
  <si>
    <t>银行实收金额（邮政银行4577尾号）</t>
  </si>
  <si>
    <t>应收金额（小程序微信邮政银行4577尾号）T+1</t>
  </si>
  <si>
    <t>银行实收金额（小程序微信邮政银行4577尾号）t+1</t>
  </si>
  <si>
    <t>预付卡/礼品卡销售金额</t>
  </si>
  <si>
    <t>保险费用/补贴节省转推广账户</t>
  </si>
  <si>
    <t>应收金额(入账农行0174尾号）T+3</t>
  </si>
  <si>
    <t>银行实收金额（农行0174尾号）T+3</t>
  </si>
  <si>
    <t>应收金额（入账农行卡0174尾号）（T+7)</t>
  </si>
  <si>
    <t>银行实收金额（入账农行卡0174尾号）T+7</t>
  </si>
  <si>
    <t>招商应收金额（入账邮政银行4577尾号）(T+2)</t>
  </si>
  <si>
    <t>银行实收金额（入账邮政银行4577尾号）T+2</t>
  </si>
  <si>
    <t>佣金/服务费支出</t>
  </si>
  <si>
    <t>应收金额（邮政银行入账4577尾号）T+5</t>
  </si>
  <si>
    <t xml:space="preserve">邮政银行实收金额（入账4577尾号）T+5  </t>
  </si>
  <si>
    <t>美团推广费</t>
    <phoneticPr fontId="12" type="noConversion"/>
  </si>
  <si>
    <t>高德口碑外卖后台</t>
    <phoneticPr fontId="12" type="noConversion"/>
  </si>
  <si>
    <t>订单金额</t>
  </si>
  <si>
    <t>银行卡实收金额</t>
  </si>
  <si>
    <t>商家优惠</t>
    <phoneticPr fontId="12" type="noConversion"/>
  </si>
  <si>
    <t>服务费</t>
    <phoneticPr fontId="12" type="noConversion"/>
  </si>
  <si>
    <t>美团优惠、建设银行、招商优惠卷、抖音卷系统后台、高德口碑后台收入</t>
    <phoneticPr fontId="12" type="noConversion"/>
  </si>
  <si>
    <t>门店实收
现金合计</t>
    <phoneticPr fontId="12" type="noConversion"/>
  </si>
  <si>
    <t>差额</t>
    <phoneticPr fontId="12" type="noConversion"/>
  </si>
  <si>
    <t>银豹
现金合计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</si>
</sst>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_);\(0.00\)"/>
  </numFmts>
  <fonts count="15" x14ac:knownFonts="1">
    <font>
      <sz val="11"/>
      <color theme="1"/>
      <name val="宋体"/>
      <charset val="134"/>
      <scheme val="minor"/>
    </font>
    <font>
      <b/>
      <sz val="2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2"/>
      <name val="微软雅黑"/>
      <family val="2"/>
      <charset val="134"/>
    </font>
    <font>
      <sz val="12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2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77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 wrapText="1"/>
    </xf>
    <xf numFmtId="177" fontId="4" fillId="0" borderId="1" xfId="0" applyNumberFormat="1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77" fontId="3" fillId="6" borderId="1" xfId="0" applyNumberFormat="1" applyFont="1" applyFill="1" applyBorder="1" applyAlignment="1">
      <alignment horizontal="center" vertical="center" wrapText="1"/>
    </xf>
    <xf numFmtId="177" fontId="4" fillId="6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76" fontId="14" fillId="9" borderId="1" xfId="0" applyNumberFormat="1" applyFont="1" applyFill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 wrapText="1"/>
    </xf>
    <xf numFmtId="176" fontId="14" fillId="4" borderId="1" xfId="0" applyNumberFormat="1" applyFont="1" applyFill="1" applyBorder="1" applyAlignment="1">
      <alignment horizontal="center" vertical="center"/>
    </xf>
    <xf numFmtId="176" fontId="14" fillId="5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176" fontId="13" fillId="0" borderId="1" xfId="0" applyNumberFormat="1" applyFont="1" applyBorder="1" applyAlignment="1">
      <alignment horizontal="center" vertical="center"/>
    </xf>
    <xf numFmtId="177" fontId="3" fillId="4" borderId="1" xfId="0" applyNumberFormat="1" applyFont="1" applyFill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199"/>
  <sheetViews>
    <sheetView tabSelected="1" workbookViewId="0">
      <pane xSplit="3" ySplit="4" topLeftCell="E5" activePane="bottomRight" state="frozen"/>
      <selection pane="topRight"/>
      <selection pane="bottomLeft"/>
      <selection pane="bottomRight" activeCell="X5" sqref="X5"/>
    </sheetView>
  </sheetViews>
  <sheetFormatPr defaultColWidth="10.33203125" defaultRowHeight="15.6" x14ac:dyDescent="0.25"/>
  <cols>
    <col min="1" max="1" width="4.88671875" style="1" customWidth="1"/>
    <col min="2" max="2" width="11.88671875" style="1" customWidth="1"/>
    <col min="3" max="4" width="10.33203125" style="1"/>
    <col min="5" max="5" width="9" style="1" customWidth="1"/>
    <col min="6" max="6" width="10.33203125" style="1"/>
    <col min="7" max="8" width="9.88671875" style="1" customWidth="1"/>
    <col min="9" max="9" width="12.5546875" style="1" hidden="1" customWidth="1"/>
    <col min="10" max="10" width="12.44140625" style="1" customWidth="1"/>
    <col min="11" max="11" width="9.88671875" style="1" customWidth="1"/>
    <col min="12" max="12" width="11.77734375" style="1" customWidth="1"/>
    <col min="13" max="13" width="10.33203125" style="1"/>
    <col min="14" max="14" width="14" style="1" customWidth="1"/>
    <col min="15" max="15" width="14.5546875" style="1" hidden="1" customWidth="1"/>
    <col min="16" max="16" width="9.88671875" style="1" hidden="1" customWidth="1"/>
    <col min="17" max="17" width="10.33203125" style="1" hidden="1" customWidth="1"/>
    <col min="18" max="20" width="11.109375" style="1" hidden="1" customWidth="1"/>
    <col min="21" max="21" width="15.33203125" style="1" hidden="1" customWidth="1"/>
    <col min="22" max="22" width="13.33203125" style="1" hidden="1" customWidth="1"/>
    <col min="23" max="24" width="10.33203125" style="1"/>
    <col min="25" max="25" width="17.6640625" style="1" hidden="1" customWidth="1"/>
    <col min="26" max="27" width="10.33203125" style="1"/>
    <col min="28" max="28" width="12.21875" style="1" hidden="1" customWidth="1"/>
    <col min="29" max="29" width="9" style="1" hidden="1" customWidth="1"/>
    <col min="30" max="33" width="10.33203125" style="1"/>
    <col min="34" max="34" width="13.6640625" style="1" customWidth="1"/>
    <col min="35" max="36" width="10.33203125" style="1"/>
    <col min="37" max="37" width="17.109375" style="1" customWidth="1"/>
    <col min="38" max="38" width="14" style="1" customWidth="1"/>
    <col min="39" max="39" width="16.33203125" style="1" hidden="1" customWidth="1"/>
    <col min="40" max="42" width="10.33203125" style="1"/>
    <col min="43" max="43" width="11.21875" style="1" customWidth="1"/>
    <col min="44" max="44" width="17.21875" style="1" customWidth="1"/>
    <col min="45" max="45" width="15.109375" style="1" hidden="1" customWidth="1"/>
    <col min="46" max="46" width="10.33203125" style="1"/>
    <col min="47" max="47" width="15.5546875" style="1" customWidth="1"/>
    <col min="48" max="48" width="10" style="1" customWidth="1"/>
    <col min="49" max="49" width="11.5546875" style="1" hidden="1" customWidth="1"/>
    <col min="50" max="50" width="12.77734375" style="1" customWidth="1"/>
    <col min="51" max="51" width="12.6640625" style="1" hidden="1" customWidth="1"/>
    <col min="52" max="52" width="10.88671875" style="1" customWidth="1"/>
    <col min="53" max="53" width="12.6640625" style="1" customWidth="1"/>
    <col min="54" max="54" width="14.5546875" style="1" customWidth="1"/>
    <col min="55" max="60" width="13.33203125" style="1" customWidth="1"/>
    <col min="61" max="61" width="12.21875" style="1" customWidth="1"/>
    <col min="62" max="62" width="12.44140625" style="1" customWidth="1"/>
    <col min="63" max="16384" width="10.33203125" style="1"/>
  </cols>
  <sheetData>
    <row r="1" spans="1:63" ht="26.25" customHeight="1" x14ac:dyDescent="0.25">
      <c r="A1" s="43" t="s">
        <v>79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43"/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</row>
    <row r="2" spans="1:63" ht="21" customHeight="1" x14ac:dyDescent="0.25">
      <c r="A2" s="34" t="s">
        <v>0</v>
      </c>
      <c r="B2" s="34" t="s">
        <v>1</v>
      </c>
      <c r="C2" s="34"/>
      <c r="D2" s="34" t="s">
        <v>2</v>
      </c>
      <c r="E2" s="34" t="s">
        <v>3</v>
      </c>
      <c r="F2" s="35" t="s">
        <v>108</v>
      </c>
      <c r="G2" s="35" t="s">
        <v>106</v>
      </c>
      <c r="H2" s="35" t="s">
        <v>107</v>
      </c>
      <c r="I2" s="47" t="s">
        <v>80</v>
      </c>
      <c r="J2" s="44" t="s">
        <v>4</v>
      </c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9"/>
      <c r="AD2" s="9"/>
      <c r="AE2" s="40" t="s">
        <v>105</v>
      </c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2"/>
      <c r="BI2" s="32" t="s">
        <v>5</v>
      </c>
      <c r="BJ2" s="33" t="s">
        <v>6</v>
      </c>
      <c r="BK2" s="34" t="s">
        <v>7</v>
      </c>
    </row>
    <row r="3" spans="1:63" s="2" customFormat="1" ht="15" customHeight="1" x14ac:dyDescent="0.25">
      <c r="A3" s="34"/>
      <c r="B3" s="34"/>
      <c r="C3" s="34"/>
      <c r="D3" s="34"/>
      <c r="E3" s="34"/>
      <c r="F3" s="34"/>
      <c r="G3" s="34"/>
      <c r="H3" s="34"/>
      <c r="I3" s="47"/>
      <c r="J3" s="34" t="s">
        <v>8</v>
      </c>
      <c r="K3" s="34"/>
      <c r="L3" s="34"/>
      <c r="M3" s="34"/>
      <c r="N3" s="34"/>
      <c r="O3" s="34"/>
      <c r="P3" s="7"/>
      <c r="Q3" s="7"/>
      <c r="R3" s="34" t="s">
        <v>9</v>
      </c>
      <c r="S3" s="34"/>
      <c r="T3" s="34"/>
      <c r="U3" s="34"/>
      <c r="V3" s="34"/>
      <c r="W3" s="35" t="s">
        <v>10</v>
      </c>
      <c r="X3" s="35" t="s">
        <v>11</v>
      </c>
      <c r="Y3" s="7" t="s">
        <v>81</v>
      </c>
      <c r="Z3" s="36" t="s">
        <v>12</v>
      </c>
      <c r="AA3" s="36" t="s">
        <v>13</v>
      </c>
      <c r="AB3" s="34" t="s">
        <v>14</v>
      </c>
      <c r="AC3" s="34" t="s">
        <v>15</v>
      </c>
      <c r="AD3" s="34" t="s">
        <v>16</v>
      </c>
      <c r="AE3" s="45" t="s">
        <v>17</v>
      </c>
      <c r="AF3" s="45"/>
      <c r="AG3" s="45"/>
      <c r="AH3" s="45"/>
      <c r="AI3" s="45"/>
      <c r="AJ3" s="45"/>
      <c r="AK3" s="45"/>
      <c r="AL3" s="45"/>
      <c r="AM3" s="45"/>
      <c r="AN3" s="45" t="s">
        <v>18</v>
      </c>
      <c r="AO3" s="45"/>
      <c r="AP3" s="45"/>
      <c r="AQ3" s="45"/>
      <c r="AR3" s="45"/>
      <c r="AS3" s="45"/>
      <c r="AT3" s="45" t="s">
        <v>19</v>
      </c>
      <c r="AU3" s="45"/>
      <c r="AV3" s="45"/>
      <c r="AW3" s="10"/>
      <c r="AX3" s="46" t="s">
        <v>20</v>
      </c>
      <c r="AY3" s="46"/>
      <c r="AZ3" s="45" t="s">
        <v>82</v>
      </c>
      <c r="BA3" s="45"/>
      <c r="BB3" s="45"/>
      <c r="BC3" s="45"/>
      <c r="BD3" s="37" t="s">
        <v>100</v>
      </c>
      <c r="BE3" s="38"/>
      <c r="BF3" s="38"/>
      <c r="BG3" s="38"/>
      <c r="BH3" s="39"/>
      <c r="BI3" s="32"/>
      <c r="BJ3" s="33"/>
      <c r="BK3" s="34"/>
    </row>
    <row r="4" spans="1:63" s="2" customFormat="1" ht="87" x14ac:dyDescent="0.25">
      <c r="A4" s="34"/>
      <c r="B4" s="34"/>
      <c r="C4" s="34"/>
      <c r="D4" s="34"/>
      <c r="E4" s="34"/>
      <c r="F4" s="34"/>
      <c r="G4" s="34"/>
      <c r="H4" s="34"/>
      <c r="I4" s="47"/>
      <c r="J4" s="7" t="s">
        <v>21</v>
      </c>
      <c r="K4" s="7" t="s">
        <v>22</v>
      </c>
      <c r="L4" s="8" t="s">
        <v>23</v>
      </c>
      <c r="M4" s="11" t="s">
        <v>83</v>
      </c>
      <c r="N4" s="11" t="s">
        <v>84</v>
      </c>
      <c r="O4" s="12" t="s">
        <v>85</v>
      </c>
      <c r="P4" s="13" t="s">
        <v>24</v>
      </c>
      <c r="Q4" s="13" t="s">
        <v>25</v>
      </c>
      <c r="R4" s="13" t="s">
        <v>22</v>
      </c>
      <c r="S4" s="13" t="s">
        <v>26</v>
      </c>
      <c r="T4" s="14" t="s">
        <v>83</v>
      </c>
      <c r="U4" s="14" t="s">
        <v>86</v>
      </c>
      <c r="V4" s="15" t="s">
        <v>87</v>
      </c>
      <c r="W4" s="35"/>
      <c r="X4" s="35"/>
      <c r="Y4" s="16" t="s">
        <v>88</v>
      </c>
      <c r="Z4" s="36"/>
      <c r="AA4" s="36"/>
      <c r="AB4" s="34"/>
      <c r="AC4" s="34"/>
      <c r="AD4" s="34"/>
      <c r="AE4" s="8" t="s">
        <v>99</v>
      </c>
      <c r="AF4" s="8" t="s">
        <v>27</v>
      </c>
      <c r="AG4" s="8" t="s">
        <v>28</v>
      </c>
      <c r="AH4" s="8" t="s">
        <v>29</v>
      </c>
      <c r="AI4" s="8" t="s">
        <v>30</v>
      </c>
      <c r="AJ4" s="8" t="s">
        <v>31</v>
      </c>
      <c r="AK4" s="8" t="s">
        <v>89</v>
      </c>
      <c r="AL4" s="17" t="s">
        <v>90</v>
      </c>
      <c r="AM4" s="18" t="s">
        <v>91</v>
      </c>
      <c r="AN4" s="8" t="s">
        <v>32</v>
      </c>
      <c r="AO4" s="8" t="s">
        <v>33</v>
      </c>
      <c r="AP4" s="8" t="s">
        <v>34</v>
      </c>
      <c r="AQ4" s="8" t="s">
        <v>35</v>
      </c>
      <c r="AR4" s="19" t="s">
        <v>92</v>
      </c>
      <c r="AS4" s="18" t="s">
        <v>93</v>
      </c>
      <c r="AT4" s="11" t="s">
        <v>36</v>
      </c>
      <c r="AU4" s="11" t="s">
        <v>37</v>
      </c>
      <c r="AV4" s="11" t="s">
        <v>38</v>
      </c>
      <c r="AW4" s="12" t="s">
        <v>39</v>
      </c>
      <c r="AX4" s="8" t="s">
        <v>94</v>
      </c>
      <c r="AY4" s="18" t="s">
        <v>95</v>
      </c>
      <c r="AZ4" s="8" t="s">
        <v>40</v>
      </c>
      <c r="BA4" s="8" t="s">
        <v>96</v>
      </c>
      <c r="BB4" s="19" t="s">
        <v>97</v>
      </c>
      <c r="BC4" s="18" t="s">
        <v>98</v>
      </c>
      <c r="BD4" s="21" t="s">
        <v>101</v>
      </c>
      <c r="BE4" s="21" t="s">
        <v>103</v>
      </c>
      <c r="BF4" s="21" t="s">
        <v>104</v>
      </c>
      <c r="BG4" s="21" t="s">
        <v>38</v>
      </c>
      <c r="BH4" s="18" t="s">
        <v>102</v>
      </c>
      <c r="BI4" s="32"/>
      <c r="BJ4" s="33"/>
      <c r="BK4" s="34"/>
    </row>
    <row r="5" spans="1:63" s="2" customFormat="1" ht="22.95" customHeight="1" x14ac:dyDescent="0.25">
      <c r="A5" s="7">
        <f t="shared" ref="A5:A36" si="0">ROW()-4</f>
        <v>1</v>
      </c>
      <c r="B5" s="3" t="s">
        <v>41</v>
      </c>
      <c r="C5" s="3" t="s">
        <v>42</v>
      </c>
      <c r="D5" s="22">
        <f>F5-E5</f>
        <v>0</v>
      </c>
      <c r="E5" s="23"/>
      <c r="F5" s="23"/>
      <c r="G5" s="23"/>
      <c r="H5" s="23">
        <f>G5-F5</f>
        <v>0</v>
      </c>
      <c r="I5" s="23"/>
      <c r="J5" s="23"/>
      <c r="K5" s="23"/>
      <c r="L5" s="22">
        <f>J5-K5</f>
        <v>0</v>
      </c>
      <c r="M5" s="23"/>
      <c r="N5" s="22">
        <f t="shared" ref="N5:N35" si="1">L5-M5</f>
        <v>0</v>
      </c>
      <c r="O5" s="23"/>
      <c r="P5" s="23"/>
      <c r="Q5" s="23"/>
      <c r="R5" s="23"/>
      <c r="S5" s="22">
        <f t="shared" ref="S5:S35" si="2">Q5-R5</f>
        <v>0</v>
      </c>
      <c r="T5" s="23"/>
      <c r="U5" s="22">
        <f t="shared" ref="U5:U35" si="3">S5-T5</f>
        <v>0</v>
      </c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2">
        <f>AF5+AG5-AH5-AI5-AJ5-AK5</f>
        <v>0</v>
      </c>
      <c r="AM5" s="23"/>
      <c r="AN5" s="23"/>
      <c r="AO5" s="23"/>
      <c r="AP5" s="23"/>
      <c r="AQ5" s="24"/>
      <c r="AR5" s="22">
        <f t="shared" ref="AR5:AR26" si="4">AN5-AO5-AP5-AQ5</f>
        <v>0</v>
      </c>
      <c r="AS5" s="23"/>
      <c r="AT5" s="23"/>
      <c r="AU5" s="23"/>
      <c r="AV5" s="22">
        <f t="shared" ref="AV5:AV35" si="5">AT5-AU5</f>
        <v>0</v>
      </c>
      <c r="AW5" s="23"/>
      <c r="AX5" s="23"/>
      <c r="AY5" s="23"/>
      <c r="AZ5" s="24"/>
      <c r="BA5" s="23"/>
      <c r="BB5" s="22">
        <f t="shared" ref="BB5:BB35" si="6">AZ5-BA5</f>
        <v>0</v>
      </c>
      <c r="BC5" s="23"/>
      <c r="BD5" s="23"/>
      <c r="BE5" s="23"/>
      <c r="BF5" s="23"/>
      <c r="BG5" s="22">
        <f>BD5-BE5-BF5</f>
        <v>0</v>
      </c>
      <c r="BH5" s="23"/>
      <c r="BI5" s="25">
        <f>G5+N5+U5+AL5+AR5+AV5+AX5+BB5+BG5</f>
        <v>0</v>
      </c>
      <c r="BJ5" s="26">
        <f>G5+L5+S5+AF5+AN5+AT5+AX5+AZ5+BD5</f>
        <v>0</v>
      </c>
      <c r="BK5" s="27"/>
    </row>
    <row r="6" spans="1:63" s="2" customFormat="1" ht="22.95" customHeight="1" x14ac:dyDescent="0.25">
      <c r="A6" s="7">
        <f t="shared" si="0"/>
        <v>2</v>
      </c>
      <c r="B6" s="3" t="s">
        <v>43</v>
      </c>
      <c r="C6" s="3" t="s">
        <v>44</v>
      </c>
      <c r="D6" s="22">
        <f t="shared" ref="D6:D35" si="7">F6-E6</f>
        <v>0</v>
      </c>
      <c r="E6" s="23"/>
      <c r="F6" s="23"/>
      <c r="G6" s="23"/>
      <c r="H6" s="23">
        <f t="shared" ref="H6:H35" si="8">G6-F6</f>
        <v>0</v>
      </c>
      <c r="I6" s="23"/>
      <c r="J6" s="23"/>
      <c r="K6" s="23"/>
      <c r="L6" s="22">
        <f t="shared" ref="L6:L35" si="9">J6-K6</f>
        <v>0</v>
      </c>
      <c r="M6" s="23"/>
      <c r="N6" s="22">
        <f t="shared" si="1"/>
        <v>0</v>
      </c>
      <c r="O6" s="23"/>
      <c r="P6" s="23"/>
      <c r="Q6" s="23"/>
      <c r="R6" s="23"/>
      <c r="S6" s="22">
        <f t="shared" si="2"/>
        <v>0</v>
      </c>
      <c r="T6" s="23"/>
      <c r="U6" s="22">
        <f t="shared" si="3"/>
        <v>0</v>
      </c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2">
        <f t="shared" ref="AL6:AL35" si="10">AF6+AG6-AH6-AI6-AJ6-AK6</f>
        <v>0</v>
      </c>
      <c r="AM6" s="23"/>
      <c r="AN6" s="23"/>
      <c r="AO6" s="23"/>
      <c r="AP6" s="23"/>
      <c r="AQ6" s="24"/>
      <c r="AR6" s="22">
        <f t="shared" si="4"/>
        <v>0</v>
      </c>
      <c r="AS6" s="23"/>
      <c r="AT6" s="23"/>
      <c r="AU6" s="23"/>
      <c r="AV6" s="22">
        <f t="shared" si="5"/>
        <v>0</v>
      </c>
      <c r="AW6" s="23"/>
      <c r="AX6" s="23"/>
      <c r="AY6" s="23"/>
      <c r="AZ6" s="24"/>
      <c r="BA6" s="23"/>
      <c r="BB6" s="22">
        <f t="shared" si="6"/>
        <v>0</v>
      </c>
      <c r="BC6" s="23"/>
      <c r="BD6" s="23"/>
      <c r="BE6" s="23"/>
      <c r="BF6" s="23"/>
      <c r="BG6" s="22">
        <f t="shared" ref="BG6:BG35" si="11">BD6-BE6-BF6</f>
        <v>0</v>
      </c>
      <c r="BH6" s="23"/>
      <c r="BI6" s="25">
        <f t="shared" ref="BI6:BI35" si="12">G6+N6+U6+AL6+AR6+AV6+AX6+BB6+BG6</f>
        <v>0</v>
      </c>
      <c r="BJ6" s="26">
        <f t="shared" ref="BJ6:BJ35" si="13">G6+L6+S6+AF6+AN6+AT6+AX6+AZ6+BD6</f>
        <v>0</v>
      </c>
      <c r="BK6" s="27"/>
    </row>
    <row r="7" spans="1:63" s="2" customFormat="1" ht="22.95" customHeight="1" x14ac:dyDescent="0.25">
      <c r="A7" s="7">
        <f t="shared" si="0"/>
        <v>3</v>
      </c>
      <c r="B7" s="3" t="s">
        <v>45</v>
      </c>
      <c r="C7" s="3" t="s">
        <v>46</v>
      </c>
      <c r="D7" s="22">
        <f t="shared" si="7"/>
        <v>0</v>
      </c>
      <c r="E7" s="23"/>
      <c r="F7" s="23"/>
      <c r="G7" s="23"/>
      <c r="H7" s="23">
        <f t="shared" si="8"/>
        <v>0</v>
      </c>
      <c r="I7" s="23"/>
      <c r="J7" s="23"/>
      <c r="K7" s="23"/>
      <c r="L7" s="22">
        <f t="shared" si="9"/>
        <v>0</v>
      </c>
      <c r="M7" s="23"/>
      <c r="N7" s="22">
        <f t="shared" si="1"/>
        <v>0</v>
      </c>
      <c r="O7" s="23"/>
      <c r="P7" s="23"/>
      <c r="Q7" s="23"/>
      <c r="R7" s="23"/>
      <c r="S7" s="22">
        <f t="shared" si="2"/>
        <v>0</v>
      </c>
      <c r="T7" s="23"/>
      <c r="U7" s="22">
        <f t="shared" si="3"/>
        <v>0</v>
      </c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2">
        <f t="shared" si="10"/>
        <v>0</v>
      </c>
      <c r="AM7" s="23"/>
      <c r="AN7" s="23"/>
      <c r="AO7" s="24"/>
      <c r="AP7" s="24"/>
      <c r="AQ7" s="24"/>
      <c r="AR7" s="22">
        <f t="shared" si="4"/>
        <v>0</v>
      </c>
      <c r="AS7" s="23"/>
      <c r="AT7" s="23"/>
      <c r="AU7" s="23"/>
      <c r="AV7" s="22">
        <f t="shared" si="5"/>
        <v>0</v>
      </c>
      <c r="AW7" s="23"/>
      <c r="AX7" s="23"/>
      <c r="AY7" s="23"/>
      <c r="AZ7" s="24"/>
      <c r="BA7" s="23"/>
      <c r="BB7" s="22">
        <f t="shared" si="6"/>
        <v>0</v>
      </c>
      <c r="BC7" s="23"/>
      <c r="BD7" s="23"/>
      <c r="BE7" s="23"/>
      <c r="BF7" s="23"/>
      <c r="BG7" s="22">
        <f t="shared" si="11"/>
        <v>0</v>
      </c>
      <c r="BH7" s="23"/>
      <c r="BI7" s="25">
        <f t="shared" si="12"/>
        <v>0</v>
      </c>
      <c r="BJ7" s="26">
        <f t="shared" si="13"/>
        <v>0</v>
      </c>
      <c r="BK7" s="28"/>
    </row>
    <row r="8" spans="1:63" s="2" customFormat="1" ht="22.95" customHeight="1" x14ac:dyDescent="0.25">
      <c r="A8" s="7">
        <f t="shared" si="0"/>
        <v>4</v>
      </c>
      <c r="B8" s="3" t="s">
        <v>47</v>
      </c>
      <c r="C8" s="3" t="s">
        <v>48</v>
      </c>
      <c r="D8" s="22">
        <f t="shared" si="7"/>
        <v>0</v>
      </c>
      <c r="E8" s="23"/>
      <c r="F8" s="23"/>
      <c r="G8" s="23"/>
      <c r="H8" s="23">
        <f t="shared" si="8"/>
        <v>0</v>
      </c>
      <c r="I8" s="23"/>
      <c r="J8" s="23"/>
      <c r="K8" s="23"/>
      <c r="L8" s="22">
        <f t="shared" si="9"/>
        <v>0</v>
      </c>
      <c r="M8" s="23"/>
      <c r="N8" s="22">
        <f t="shared" si="1"/>
        <v>0</v>
      </c>
      <c r="O8" s="23"/>
      <c r="P8" s="23"/>
      <c r="Q8" s="23"/>
      <c r="R8" s="23"/>
      <c r="S8" s="22">
        <f t="shared" si="2"/>
        <v>0</v>
      </c>
      <c r="T8" s="23"/>
      <c r="U8" s="22">
        <f t="shared" si="3"/>
        <v>0</v>
      </c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2">
        <f t="shared" si="10"/>
        <v>0</v>
      </c>
      <c r="AM8" s="23"/>
      <c r="AN8" s="23"/>
      <c r="AO8" s="23"/>
      <c r="AP8" s="23"/>
      <c r="AQ8" s="24"/>
      <c r="AR8" s="22">
        <f t="shared" si="4"/>
        <v>0</v>
      </c>
      <c r="AS8" s="23"/>
      <c r="AT8" s="23"/>
      <c r="AU8" s="23"/>
      <c r="AV8" s="22">
        <f t="shared" si="5"/>
        <v>0</v>
      </c>
      <c r="AW8" s="23"/>
      <c r="AX8" s="23"/>
      <c r="AY8" s="23"/>
      <c r="AZ8" s="24"/>
      <c r="BA8" s="24"/>
      <c r="BB8" s="22">
        <f t="shared" si="6"/>
        <v>0</v>
      </c>
      <c r="BC8" s="23"/>
      <c r="BD8" s="23"/>
      <c r="BE8" s="23"/>
      <c r="BF8" s="23"/>
      <c r="BG8" s="22">
        <f t="shared" si="11"/>
        <v>0</v>
      </c>
      <c r="BH8" s="23"/>
      <c r="BI8" s="25">
        <f t="shared" si="12"/>
        <v>0</v>
      </c>
      <c r="BJ8" s="26">
        <f t="shared" si="13"/>
        <v>0</v>
      </c>
      <c r="BK8" s="29"/>
    </row>
    <row r="9" spans="1:63" s="2" customFormat="1" ht="22.95" customHeight="1" x14ac:dyDescent="0.25">
      <c r="A9" s="7">
        <f t="shared" si="0"/>
        <v>5</v>
      </c>
      <c r="B9" s="3" t="s">
        <v>49</v>
      </c>
      <c r="C9" s="3" t="s">
        <v>50</v>
      </c>
      <c r="D9" s="22">
        <f t="shared" si="7"/>
        <v>0</v>
      </c>
      <c r="E9" s="23"/>
      <c r="F9" s="23"/>
      <c r="G9" s="23"/>
      <c r="H9" s="23">
        <f t="shared" si="8"/>
        <v>0</v>
      </c>
      <c r="I9" s="23"/>
      <c r="J9" s="23"/>
      <c r="K9" s="23"/>
      <c r="L9" s="22">
        <f t="shared" si="9"/>
        <v>0</v>
      </c>
      <c r="M9" s="23"/>
      <c r="N9" s="22">
        <f t="shared" si="1"/>
        <v>0</v>
      </c>
      <c r="O9" s="23"/>
      <c r="P9" s="23"/>
      <c r="Q9" s="23"/>
      <c r="R9" s="23"/>
      <c r="S9" s="22">
        <f t="shared" si="2"/>
        <v>0</v>
      </c>
      <c r="T9" s="23"/>
      <c r="U9" s="22">
        <f t="shared" si="3"/>
        <v>0</v>
      </c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2">
        <f t="shared" si="10"/>
        <v>0</v>
      </c>
      <c r="AM9" s="23"/>
      <c r="AN9" s="23"/>
      <c r="AO9" s="23"/>
      <c r="AP9" s="23"/>
      <c r="AQ9" s="23"/>
      <c r="AR9" s="22">
        <f t="shared" si="4"/>
        <v>0</v>
      </c>
      <c r="AS9" s="23"/>
      <c r="AT9" s="23"/>
      <c r="AU9" s="23"/>
      <c r="AV9" s="22">
        <f t="shared" si="5"/>
        <v>0</v>
      </c>
      <c r="AW9" s="23"/>
      <c r="AX9" s="23"/>
      <c r="AY9" s="23"/>
      <c r="AZ9" s="24"/>
      <c r="BA9" s="24"/>
      <c r="BB9" s="22">
        <f t="shared" si="6"/>
        <v>0</v>
      </c>
      <c r="BC9" s="23"/>
      <c r="BD9" s="23"/>
      <c r="BE9" s="23"/>
      <c r="BF9" s="23"/>
      <c r="BG9" s="22">
        <f t="shared" si="11"/>
        <v>0</v>
      </c>
      <c r="BH9" s="23"/>
      <c r="BI9" s="25">
        <f t="shared" si="12"/>
        <v>0</v>
      </c>
      <c r="BJ9" s="26">
        <f t="shared" si="13"/>
        <v>0</v>
      </c>
      <c r="BK9" s="27"/>
    </row>
    <row r="10" spans="1:63" s="2" customFormat="1" ht="22.95" customHeight="1" x14ac:dyDescent="0.25">
      <c r="A10" s="7">
        <f t="shared" si="0"/>
        <v>6</v>
      </c>
      <c r="B10" s="3" t="s">
        <v>51</v>
      </c>
      <c r="C10" s="3" t="s">
        <v>52</v>
      </c>
      <c r="D10" s="22">
        <f t="shared" si="7"/>
        <v>0</v>
      </c>
      <c r="E10" s="23"/>
      <c r="F10" s="23"/>
      <c r="G10" s="23"/>
      <c r="H10" s="23">
        <f t="shared" si="8"/>
        <v>0</v>
      </c>
      <c r="I10" s="23"/>
      <c r="J10" s="23"/>
      <c r="K10" s="23"/>
      <c r="L10" s="22">
        <f t="shared" si="9"/>
        <v>0</v>
      </c>
      <c r="M10" s="23"/>
      <c r="N10" s="22">
        <f t="shared" si="1"/>
        <v>0</v>
      </c>
      <c r="O10" s="23"/>
      <c r="P10" s="23"/>
      <c r="Q10" s="23"/>
      <c r="R10" s="23"/>
      <c r="S10" s="22">
        <f t="shared" si="2"/>
        <v>0</v>
      </c>
      <c r="T10" s="23"/>
      <c r="U10" s="22">
        <f t="shared" si="3"/>
        <v>0</v>
      </c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2">
        <f t="shared" si="10"/>
        <v>0</v>
      </c>
      <c r="AM10" s="23"/>
      <c r="AN10" s="23"/>
      <c r="AO10" s="23"/>
      <c r="AP10" s="23"/>
      <c r="AQ10" s="23"/>
      <c r="AR10" s="22">
        <f t="shared" si="4"/>
        <v>0</v>
      </c>
      <c r="AS10" s="23"/>
      <c r="AT10" s="23"/>
      <c r="AU10" s="23"/>
      <c r="AV10" s="22">
        <f t="shared" si="5"/>
        <v>0</v>
      </c>
      <c r="AW10" s="23"/>
      <c r="AX10" s="23"/>
      <c r="AY10" s="23"/>
      <c r="AZ10" s="24"/>
      <c r="BA10" s="23"/>
      <c r="BB10" s="22">
        <f t="shared" si="6"/>
        <v>0</v>
      </c>
      <c r="BC10" s="23"/>
      <c r="BD10" s="23"/>
      <c r="BE10" s="23"/>
      <c r="BF10" s="23"/>
      <c r="BG10" s="22">
        <f t="shared" si="11"/>
        <v>0</v>
      </c>
      <c r="BH10" s="23"/>
      <c r="BI10" s="25">
        <f t="shared" si="12"/>
        <v>0</v>
      </c>
      <c r="BJ10" s="26">
        <f t="shared" si="13"/>
        <v>0</v>
      </c>
      <c r="BK10" s="27"/>
    </row>
    <row r="11" spans="1:63" s="2" customFormat="1" ht="22.95" customHeight="1" x14ac:dyDescent="0.25">
      <c r="A11" s="7">
        <f t="shared" si="0"/>
        <v>7</v>
      </c>
      <c r="B11" s="3" t="s">
        <v>53</v>
      </c>
      <c r="C11" s="3" t="s">
        <v>54</v>
      </c>
      <c r="D11" s="22">
        <f t="shared" si="7"/>
        <v>0</v>
      </c>
      <c r="E11" s="23"/>
      <c r="F11" s="23"/>
      <c r="G11" s="23"/>
      <c r="H11" s="23">
        <f t="shared" si="8"/>
        <v>0</v>
      </c>
      <c r="I11" s="23"/>
      <c r="J11" s="23"/>
      <c r="K11" s="23"/>
      <c r="L11" s="22">
        <f t="shared" si="9"/>
        <v>0</v>
      </c>
      <c r="M11" s="23"/>
      <c r="N11" s="22">
        <f t="shared" si="1"/>
        <v>0</v>
      </c>
      <c r="O11" s="23"/>
      <c r="P11" s="23"/>
      <c r="Q11" s="23"/>
      <c r="R11" s="23"/>
      <c r="S11" s="22">
        <f t="shared" si="2"/>
        <v>0</v>
      </c>
      <c r="T11" s="23"/>
      <c r="U11" s="22">
        <f t="shared" si="3"/>
        <v>0</v>
      </c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2">
        <f t="shared" si="10"/>
        <v>0</v>
      </c>
      <c r="AM11" s="23"/>
      <c r="AN11" s="23"/>
      <c r="AO11" s="23"/>
      <c r="AP11" s="23"/>
      <c r="AQ11" s="24"/>
      <c r="AR11" s="22">
        <f t="shared" si="4"/>
        <v>0</v>
      </c>
      <c r="AS11" s="23"/>
      <c r="AT11" s="23"/>
      <c r="AU11" s="23"/>
      <c r="AV11" s="22">
        <f t="shared" si="5"/>
        <v>0</v>
      </c>
      <c r="AW11" s="23"/>
      <c r="AX11" s="23"/>
      <c r="AY11" s="23"/>
      <c r="AZ11" s="24"/>
      <c r="BA11" s="23"/>
      <c r="BB11" s="22">
        <f t="shared" si="6"/>
        <v>0</v>
      </c>
      <c r="BC11" s="23"/>
      <c r="BD11" s="23"/>
      <c r="BE11" s="23"/>
      <c r="BF11" s="23"/>
      <c r="BG11" s="22">
        <f t="shared" si="11"/>
        <v>0</v>
      </c>
      <c r="BH11" s="23"/>
      <c r="BI11" s="25">
        <f t="shared" si="12"/>
        <v>0</v>
      </c>
      <c r="BJ11" s="26">
        <f t="shared" si="13"/>
        <v>0</v>
      </c>
      <c r="BK11" s="27"/>
    </row>
    <row r="12" spans="1:63" s="2" customFormat="1" ht="22.95" customHeight="1" x14ac:dyDescent="0.25">
      <c r="A12" s="7">
        <f t="shared" si="0"/>
        <v>8</v>
      </c>
      <c r="B12" s="3" t="s">
        <v>55</v>
      </c>
      <c r="C12" s="3" t="s">
        <v>42</v>
      </c>
      <c r="D12" s="22">
        <f t="shared" si="7"/>
        <v>0</v>
      </c>
      <c r="E12" s="23"/>
      <c r="F12" s="23"/>
      <c r="G12" s="23"/>
      <c r="H12" s="23">
        <f t="shared" si="8"/>
        <v>0</v>
      </c>
      <c r="I12" s="23"/>
      <c r="J12" s="23"/>
      <c r="K12" s="23"/>
      <c r="L12" s="22">
        <f t="shared" si="9"/>
        <v>0</v>
      </c>
      <c r="M12" s="23"/>
      <c r="N12" s="22">
        <f t="shared" si="1"/>
        <v>0</v>
      </c>
      <c r="O12" s="23"/>
      <c r="P12" s="23"/>
      <c r="Q12" s="23"/>
      <c r="R12" s="23"/>
      <c r="S12" s="22">
        <f t="shared" si="2"/>
        <v>0</v>
      </c>
      <c r="T12" s="23"/>
      <c r="U12" s="22">
        <f t="shared" si="3"/>
        <v>0</v>
      </c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2">
        <f t="shared" si="10"/>
        <v>0</v>
      </c>
      <c r="AM12" s="23"/>
      <c r="AN12" s="23"/>
      <c r="AO12" s="23"/>
      <c r="AP12" s="23"/>
      <c r="AQ12" s="23"/>
      <c r="AR12" s="22">
        <f t="shared" si="4"/>
        <v>0</v>
      </c>
      <c r="AS12" s="23"/>
      <c r="AT12" s="23"/>
      <c r="AU12" s="23"/>
      <c r="AV12" s="22">
        <f t="shared" si="5"/>
        <v>0</v>
      </c>
      <c r="AW12" s="23"/>
      <c r="AX12" s="23"/>
      <c r="AY12" s="23"/>
      <c r="AZ12" s="24"/>
      <c r="BA12" s="23"/>
      <c r="BB12" s="22">
        <f t="shared" si="6"/>
        <v>0</v>
      </c>
      <c r="BC12" s="23"/>
      <c r="BD12" s="23"/>
      <c r="BE12" s="23"/>
      <c r="BF12" s="23"/>
      <c r="BG12" s="22">
        <f t="shared" si="11"/>
        <v>0</v>
      </c>
      <c r="BH12" s="23"/>
      <c r="BI12" s="25">
        <f t="shared" si="12"/>
        <v>0</v>
      </c>
      <c r="BJ12" s="26">
        <f t="shared" si="13"/>
        <v>0</v>
      </c>
      <c r="BK12" s="27"/>
    </row>
    <row r="13" spans="1:63" s="2" customFormat="1" ht="22.95" customHeight="1" x14ac:dyDescent="0.25">
      <c r="A13" s="7">
        <f t="shared" si="0"/>
        <v>9</v>
      </c>
      <c r="B13" s="3" t="s">
        <v>56</v>
      </c>
      <c r="C13" s="3" t="s">
        <v>44</v>
      </c>
      <c r="D13" s="22">
        <f t="shared" si="7"/>
        <v>0</v>
      </c>
      <c r="E13" s="23"/>
      <c r="F13" s="23"/>
      <c r="G13" s="23"/>
      <c r="H13" s="23">
        <f t="shared" si="8"/>
        <v>0</v>
      </c>
      <c r="I13" s="23"/>
      <c r="J13" s="23"/>
      <c r="K13" s="23"/>
      <c r="L13" s="22">
        <f t="shared" si="9"/>
        <v>0</v>
      </c>
      <c r="M13" s="23"/>
      <c r="N13" s="22">
        <f t="shared" si="1"/>
        <v>0</v>
      </c>
      <c r="O13" s="23"/>
      <c r="P13" s="23"/>
      <c r="Q13" s="23"/>
      <c r="R13" s="23"/>
      <c r="S13" s="22">
        <f t="shared" si="2"/>
        <v>0</v>
      </c>
      <c r="T13" s="23"/>
      <c r="U13" s="22">
        <f t="shared" si="3"/>
        <v>0</v>
      </c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2">
        <f t="shared" si="10"/>
        <v>0</v>
      </c>
      <c r="AM13" s="23"/>
      <c r="AN13" s="23"/>
      <c r="AO13" s="23"/>
      <c r="AP13" s="23"/>
      <c r="AQ13" s="23"/>
      <c r="AR13" s="22">
        <f t="shared" si="4"/>
        <v>0</v>
      </c>
      <c r="AS13" s="23"/>
      <c r="AT13" s="23"/>
      <c r="AU13" s="23"/>
      <c r="AV13" s="22">
        <f t="shared" si="5"/>
        <v>0</v>
      </c>
      <c r="AW13" s="23"/>
      <c r="AX13" s="23"/>
      <c r="AY13" s="23"/>
      <c r="AZ13" s="24"/>
      <c r="BA13" s="23"/>
      <c r="BB13" s="22">
        <f t="shared" si="6"/>
        <v>0</v>
      </c>
      <c r="BC13" s="23"/>
      <c r="BD13" s="23"/>
      <c r="BE13" s="23"/>
      <c r="BF13" s="23"/>
      <c r="BG13" s="22">
        <f t="shared" si="11"/>
        <v>0</v>
      </c>
      <c r="BH13" s="23"/>
      <c r="BI13" s="25">
        <f t="shared" si="12"/>
        <v>0</v>
      </c>
      <c r="BJ13" s="26">
        <f t="shared" si="13"/>
        <v>0</v>
      </c>
      <c r="BK13" s="27"/>
    </row>
    <row r="14" spans="1:63" s="2" customFormat="1" ht="22.95" customHeight="1" x14ac:dyDescent="0.25">
      <c r="A14" s="7">
        <f t="shared" si="0"/>
        <v>10</v>
      </c>
      <c r="B14" s="3" t="s">
        <v>57</v>
      </c>
      <c r="C14" s="3" t="s">
        <v>46</v>
      </c>
      <c r="D14" s="22">
        <f t="shared" si="7"/>
        <v>0</v>
      </c>
      <c r="E14" s="23"/>
      <c r="F14" s="23"/>
      <c r="G14" s="23"/>
      <c r="H14" s="23">
        <f t="shared" si="8"/>
        <v>0</v>
      </c>
      <c r="I14" s="23"/>
      <c r="J14" s="23"/>
      <c r="K14" s="23"/>
      <c r="L14" s="22">
        <f t="shared" si="9"/>
        <v>0</v>
      </c>
      <c r="M14" s="23"/>
      <c r="N14" s="22">
        <f t="shared" si="1"/>
        <v>0</v>
      </c>
      <c r="O14" s="23"/>
      <c r="P14" s="23"/>
      <c r="Q14" s="23"/>
      <c r="R14" s="23"/>
      <c r="S14" s="22">
        <f t="shared" si="2"/>
        <v>0</v>
      </c>
      <c r="T14" s="23"/>
      <c r="U14" s="22">
        <f t="shared" si="3"/>
        <v>0</v>
      </c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2">
        <f t="shared" si="10"/>
        <v>0</v>
      </c>
      <c r="AM14" s="23"/>
      <c r="AN14" s="23"/>
      <c r="AO14" s="23"/>
      <c r="AP14" s="23"/>
      <c r="AQ14" s="23"/>
      <c r="AR14" s="22">
        <f t="shared" si="4"/>
        <v>0</v>
      </c>
      <c r="AS14" s="23"/>
      <c r="AT14" s="23"/>
      <c r="AU14" s="23"/>
      <c r="AV14" s="22">
        <f t="shared" si="5"/>
        <v>0</v>
      </c>
      <c r="AW14" s="23"/>
      <c r="AX14" s="23"/>
      <c r="AY14" s="23"/>
      <c r="AZ14" s="24"/>
      <c r="BA14" s="23"/>
      <c r="BB14" s="22">
        <f t="shared" si="6"/>
        <v>0</v>
      </c>
      <c r="BC14" s="23"/>
      <c r="BD14" s="23"/>
      <c r="BE14" s="23"/>
      <c r="BF14" s="23"/>
      <c r="BG14" s="22">
        <f t="shared" si="11"/>
        <v>0</v>
      </c>
      <c r="BH14" s="23"/>
      <c r="BI14" s="25">
        <f t="shared" si="12"/>
        <v>0</v>
      </c>
      <c r="BJ14" s="26">
        <f t="shared" si="13"/>
        <v>0</v>
      </c>
      <c r="BK14" s="27"/>
    </row>
    <row r="15" spans="1:63" s="2" customFormat="1" ht="22.95" customHeight="1" x14ac:dyDescent="0.25">
      <c r="A15" s="7">
        <f t="shared" si="0"/>
        <v>11</v>
      </c>
      <c r="B15" s="3" t="s">
        <v>58</v>
      </c>
      <c r="C15" s="3" t="s">
        <v>48</v>
      </c>
      <c r="D15" s="22">
        <f t="shared" si="7"/>
        <v>0</v>
      </c>
      <c r="E15" s="23"/>
      <c r="F15" s="23"/>
      <c r="G15" s="23"/>
      <c r="H15" s="23">
        <f t="shared" si="8"/>
        <v>0</v>
      </c>
      <c r="I15" s="23"/>
      <c r="J15" s="23"/>
      <c r="K15" s="23"/>
      <c r="L15" s="22">
        <f t="shared" si="9"/>
        <v>0</v>
      </c>
      <c r="M15" s="23"/>
      <c r="N15" s="22">
        <f t="shared" si="1"/>
        <v>0</v>
      </c>
      <c r="O15" s="23"/>
      <c r="P15" s="23"/>
      <c r="Q15" s="23"/>
      <c r="R15" s="23"/>
      <c r="S15" s="22">
        <f t="shared" si="2"/>
        <v>0</v>
      </c>
      <c r="T15" s="23"/>
      <c r="U15" s="22">
        <f t="shared" si="3"/>
        <v>0</v>
      </c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2">
        <f t="shared" si="10"/>
        <v>0</v>
      </c>
      <c r="AM15" s="23"/>
      <c r="AN15" s="23"/>
      <c r="AO15" s="23"/>
      <c r="AP15" s="23"/>
      <c r="AQ15" s="23"/>
      <c r="AR15" s="22">
        <f t="shared" si="4"/>
        <v>0</v>
      </c>
      <c r="AS15" s="23"/>
      <c r="AT15" s="23"/>
      <c r="AU15" s="23"/>
      <c r="AV15" s="22">
        <f t="shared" si="5"/>
        <v>0</v>
      </c>
      <c r="AW15" s="23"/>
      <c r="AX15" s="23"/>
      <c r="AY15" s="23"/>
      <c r="AZ15" s="24"/>
      <c r="BA15" s="23"/>
      <c r="BB15" s="22">
        <f t="shared" si="6"/>
        <v>0</v>
      </c>
      <c r="BC15" s="23"/>
      <c r="BD15" s="23"/>
      <c r="BE15" s="23"/>
      <c r="BF15" s="23"/>
      <c r="BG15" s="22">
        <f t="shared" si="11"/>
        <v>0</v>
      </c>
      <c r="BH15" s="23"/>
      <c r="BI15" s="25">
        <f t="shared" si="12"/>
        <v>0</v>
      </c>
      <c r="BJ15" s="26">
        <f t="shared" si="13"/>
        <v>0</v>
      </c>
      <c r="BK15" s="27"/>
    </row>
    <row r="16" spans="1:63" s="2" customFormat="1" ht="22.95" customHeight="1" x14ac:dyDescent="0.25">
      <c r="A16" s="7">
        <f t="shared" si="0"/>
        <v>12</v>
      </c>
      <c r="B16" s="3" t="s">
        <v>59</v>
      </c>
      <c r="C16" s="3" t="s">
        <v>50</v>
      </c>
      <c r="D16" s="22">
        <f t="shared" si="7"/>
        <v>0</v>
      </c>
      <c r="E16" s="23"/>
      <c r="F16" s="23"/>
      <c r="G16" s="23"/>
      <c r="H16" s="23">
        <f t="shared" si="8"/>
        <v>0</v>
      </c>
      <c r="I16" s="23"/>
      <c r="J16" s="23"/>
      <c r="K16" s="23"/>
      <c r="L16" s="22">
        <f t="shared" si="9"/>
        <v>0</v>
      </c>
      <c r="M16" s="23"/>
      <c r="N16" s="22">
        <f t="shared" si="1"/>
        <v>0</v>
      </c>
      <c r="O16" s="23"/>
      <c r="P16" s="23"/>
      <c r="Q16" s="23"/>
      <c r="R16" s="23"/>
      <c r="S16" s="22">
        <f t="shared" si="2"/>
        <v>0</v>
      </c>
      <c r="T16" s="23"/>
      <c r="U16" s="22">
        <f t="shared" si="3"/>
        <v>0</v>
      </c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2">
        <f t="shared" si="10"/>
        <v>0</v>
      </c>
      <c r="AM16" s="23"/>
      <c r="AN16" s="23"/>
      <c r="AO16" s="23"/>
      <c r="AP16" s="23"/>
      <c r="AQ16" s="23"/>
      <c r="AR16" s="22">
        <f t="shared" si="4"/>
        <v>0</v>
      </c>
      <c r="AS16" s="23"/>
      <c r="AT16" s="23"/>
      <c r="AU16" s="23"/>
      <c r="AV16" s="22">
        <f t="shared" si="5"/>
        <v>0</v>
      </c>
      <c r="AW16" s="23"/>
      <c r="AX16" s="23"/>
      <c r="AY16" s="23"/>
      <c r="AZ16" s="24"/>
      <c r="BA16" s="23"/>
      <c r="BB16" s="22">
        <f t="shared" si="6"/>
        <v>0</v>
      </c>
      <c r="BC16" s="23"/>
      <c r="BD16" s="23"/>
      <c r="BE16" s="23"/>
      <c r="BF16" s="23"/>
      <c r="BG16" s="22">
        <f t="shared" si="11"/>
        <v>0</v>
      </c>
      <c r="BH16" s="23"/>
      <c r="BI16" s="25">
        <f t="shared" si="12"/>
        <v>0</v>
      </c>
      <c r="BJ16" s="26">
        <f t="shared" si="13"/>
        <v>0</v>
      </c>
      <c r="BK16" s="27"/>
    </row>
    <row r="17" spans="1:63" s="2" customFormat="1" ht="22.95" customHeight="1" x14ac:dyDescent="0.25">
      <c r="A17" s="7">
        <f t="shared" si="0"/>
        <v>13</v>
      </c>
      <c r="B17" s="3" t="s">
        <v>60</v>
      </c>
      <c r="C17" s="3" t="s">
        <v>52</v>
      </c>
      <c r="D17" s="22">
        <f t="shared" si="7"/>
        <v>0</v>
      </c>
      <c r="E17" s="23"/>
      <c r="F17" s="23"/>
      <c r="G17" s="23"/>
      <c r="H17" s="23">
        <f t="shared" si="8"/>
        <v>0</v>
      </c>
      <c r="I17" s="23"/>
      <c r="J17" s="23"/>
      <c r="K17" s="23"/>
      <c r="L17" s="22">
        <f t="shared" si="9"/>
        <v>0</v>
      </c>
      <c r="M17" s="23"/>
      <c r="N17" s="22">
        <f t="shared" si="1"/>
        <v>0</v>
      </c>
      <c r="O17" s="23"/>
      <c r="P17" s="23"/>
      <c r="Q17" s="23"/>
      <c r="R17" s="23"/>
      <c r="S17" s="22">
        <f t="shared" si="2"/>
        <v>0</v>
      </c>
      <c r="T17" s="23"/>
      <c r="U17" s="22">
        <f t="shared" si="3"/>
        <v>0</v>
      </c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2">
        <f t="shared" si="10"/>
        <v>0</v>
      </c>
      <c r="AM17" s="23"/>
      <c r="AN17" s="23"/>
      <c r="AO17" s="23"/>
      <c r="AP17" s="23"/>
      <c r="AQ17" s="23"/>
      <c r="AR17" s="22">
        <f t="shared" si="4"/>
        <v>0</v>
      </c>
      <c r="AS17" s="23"/>
      <c r="AT17" s="23"/>
      <c r="AU17" s="23"/>
      <c r="AV17" s="22">
        <f t="shared" si="5"/>
        <v>0</v>
      </c>
      <c r="AW17" s="23"/>
      <c r="AX17" s="23"/>
      <c r="AY17" s="23"/>
      <c r="AZ17" s="24"/>
      <c r="BA17" s="23"/>
      <c r="BB17" s="22">
        <f t="shared" si="6"/>
        <v>0</v>
      </c>
      <c r="BC17" s="23"/>
      <c r="BD17" s="23"/>
      <c r="BE17" s="23"/>
      <c r="BF17" s="23"/>
      <c r="BG17" s="22">
        <f t="shared" si="11"/>
        <v>0</v>
      </c>
      <c r="BH17" s="23"/>
      <c r="BI17" s="25">
        <f t="shared" si="12"/>
        <v>0</v>
      </c>
      <c r="BJ17" s="26">
        <f t="shared" si="13"/>
        <v>0</v>
      </c>
      <c r="BK17" s="27"/>
    </row>
    <row r="18" spans="1:63" s="2" customFormat="1" ht="22.95" customHeight="1" x14ac:dyDescent="0.25">
      <c r="A18" s="7">
        <f t="shared" si="0"/>
        <v>14</v>
      </c>
      <c r="B18" s="3" t="s">
        <v>61</v>
      </c>
      <c r="C18" s="3" t="s">
        <v>54</v>
      </c>
      <c r="D18" s="22">
        <f t="shared" si="7"/>
        <v>0</v>
      </c>
      <c r="E18" s="23"/>
      <c r="F18" s="23"/>
      <c r="G18" s="23"/>
      <c r="H18" s="23">
        <f t="shared" si="8"/>
        <v>0</v>
      </c>
      <c r="I18" s="23"/>
      <c r="J18" s="23"/>
      <c r="K18" s="23"/>
      <c r="L18" s="22">
        <f t="shared" si="9"/>
        <v>0</v>
      </c>
      <c r="M18" s="23"/>
      <c r="N18" s="22">
        <f t="shared" si="1"/>
        <v>0</v>
      </c>
      <c r="O18" s="23"/>
      <c r="P18" s="23"/>
      <c r="Q18" s="23"/>
      <c r="R18" s="23"/>
      <c r="S18" s="22">
        <f t="shared" si="2"/>
        <v>0</v>
      </c>
      <c r="T18" s="23"/>
      <c r="U18" s="22">
        <f t="shared" si="3"/>
        <v>0</v>
      </c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2">
        <f t="shared" si="10"/>
        <v>0</v>
      </c>
      <c r="AM18" s="23"/>
      <c r="AN18" s="24"/>
      <c r="AO18" s="23"/>
      <c r="AP18" s="23"/>
      <c r="AQ18" s="23"/>
      <c r="AR18" s="22">
        <f t="shared" si="4"/>
        <v>0</v>
      </c>
      <c r="AS18" s="23"/>
      <c r="AT18" s="23"/>
      <c r="AU18" s="23"/>
      <c r="AV18" s="22">
        <f t="shared" si="5"/>
        <v>0</v>
      </c>
      <c r="AW18" s="23"/>
      <c r="AX18" s="23"/>
      <c r="AY18" s="23"/>
      <c r="AZ18" s="24"/>
      <c r="BA18" s="23"/>
      <c r="BB18" s="22">
        <f t="shared" si="6"/>
        <v>0</v>
      </c>
      <c r="BC18" s="23"/>
      <c r="BD18" s="23"/>
      <c r="BE18" s="23"/>
      <c r="BF18" s="23"/>
      <c r="BG18" s="22">
        <f t="shared" si="11"/>
        <v>0</v>
      </c>
      <c r="BH18" s="23"/>
      <c r="BI18" s="25">
        <f t="shared" si="12"/>
        <v>0</v>
      </c>
      <c r="BJ18" s="26">
        <f t="shared" si="13"/>
        <v>0</v>
      </c>
      <c r="BK18" s="27"/>
    </row>
    <row r="19" spans="1:63" s="2" customFormat="1" ht="22.95" customHeight="1" x14ac:dyDescent="0.25">
      <c r="A19" s="7">
        <f t="shared" si="0"/>
        <v>15</v>
      </c>
      <c r="B19" s="3" t="s">
        <v>62</v>
      </c>
      <c r="C19" s="3" t="s">
        <v>42</v>
      </c>
      <c r="D19" s="22">
        <f t="shared" si="7"/>
        <v>0</v>
      </c>
      <c r="E19" s="23"/>
      <c r="F19" s="23"/>
      <c r="G19" s="23"/>
      <c r="H19" s="23">
        <f t="shared" si="8"/>
        <v>0</v>
      </c>
      <c r="I19" s="23"/>
      <c r="J19" s="23"/>
      <c r="K19" s="23"/>
      <c r="L19" s="22">
        <f t="shared" si="9"/>
        <v>0</v>
      </c>
      <c r="M19" s="23"/>
      <c r="N19" s="22">
        <f t="shared" si="1"/>
        <v>0</v>
      </c>
      <c r="O19" s="23"/>
      <c r="P19" s="23"/>
      <c r="Q19" s="23"/>
      <c r="R19" s="23"/>
      <c r="S19" s="22">
        <f t="shared" si="2"/>
        <v>0</v>
      </c>
      <c r="T19" s="23"/>
      <c r="U19" s="22">
        <f t="shared" si="3"/>
        <v>0</v>
      </c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2">
        <f t="shared" si="10"/>
        <v>0</v>
      </c>
      <c r="AM19" s="23"/>
      <c r="AN19" s="23"/>
      <c r="AO19" s="23"/>
      <c r="AP19" s="23"/>
      <c r="AQ19" s="23"/>
      <c r="AR19" s="22">
        <f t="shared" si="4"/>
        <v>0</v>
      </c>
      <c r="AS19" s="23"/>
      <c r="AT19" s="23"/>
      <c r="AU19" s="23"/>
      <c r="AV19" s="22">
        <f t="shared" si="5"/>
        <v>0</v>
      </c>
      <c r="AW19" s="23"/>
      <c r="AX19" s="23"/>
      <c r="AY19" s="23"/>
      <c r="AZ19" s="23"/>
      <c r="BA19" s="23"/>
      <c r="BB19" s="22">
        <f t="shared" si="6"/>
        <v>0</v>
      </c>
      <c r="BC19" s="23"/>
      <c r="BD19" s="23"/>
      <c r="BE19" s="23"/>
      <c r="BF19" s="23"/>
      <c r="BG19" s="22">
        <f t="shared" si="11"/>
        <v>0</v>
      </c>
      <c r="BH19" s="23"/>
      <c r="BI19" s="25">
        <f t="shared" si="12"/>
        <v>0</v>
      </c>
      <c r="BJ19" s="26">
        <f t="shared" si="13"/>
        <v>0</v>
      </c>
      <c r="BK19" s="27"/>
    </row>
    <row r="20" spans="1:63" s="2" customFormat="1" ht="22.95" customHeight="1" x14ac:dyDescent="0.25">
      <c r="A20" s="7">
        <f t="shared" si="0"/>
        <v>16</v>
      </c>
      <c r="B20" s="3" t="s">
        <v>63</v>
      </c>
      <c r="C20" s="3" t="s">
        <v>44</v>
      </c>
      <c r="D20" s="22">
        <f t="shared" si="7"/>
        <v>0</v>
      </c>
      <c r="E20" s="23"/>
      <c r="F20" s="23"/>
      <c r="G20" s="23"/>
      <c r="H20" s="23">
        <f t="shared" si="8"/>
        <v>0</v>
      </c>
      <c r="I20" s="23"/>
      <c r="J20" s="23"/>
      <c r="K20" s="23"/>
      <c r="L20" s="22">
        <f t="shared" si="9"/>
        <v>0</v>
      </c>
      <c r="M20" s="23"/>
      <c r="N20" s="22">
        <f t="shared" si="1"/>
        <v>0</v>
      </c>
      <c r="O20" s="23"/>
      <c r="P20" s="23"/>
      <c r="Q20" s="23"/>
      <c r="R20" s="23"/>
      <c r="S20" s="22">
        <f t="shared" si="2"/>
        <v>0</v>
      </c>
      <c r="T20" s="23"/>
      <c r="U20" s="22">
        <f t="shared" si="3"/>
        <v>0</v>
      </c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2">
        <f t="shared" si="10"/>
        <v>0</v>
      </c>
      <c r="AM20" s="23"/>
      <c r="AN20" s="23"/>
      <c r="AO20" s="23"/>
      <c r="AP20" s="23"/>
      <c r="AQ20" s="24"/>
      <c r="AR20" s="22">
        <f t="shared" si="4"/>
        <v>0</v>
      </c>
      <c r="AS20" s="23"/>
      <c r="AT20" s="23"/>
      <c r="AU20" s="23"/>
      <c r="AV20" s="22">
        <f t="shared" si="5"/>
        <v>0</v>
      </c>
      <c r="AW20" s="23"/>
      <c r="AX20" s="23"/>
      <c r="AY20" s="23"/>
      <c r="AZ20" s="23"/>
      <c r="BA20" s="23"/>
      <c r="BB20" s="22">
        <f t="shared" si="6"/>
        <v>0</v>
      </c>
      <c r="BC20" s="23"/>
      <c r="BD20" s="23"/>
      <c r="BE20" s="23"/>
      <c r="BF20" s="23"/>
      <c r="BG20" s="22">
        <f t="shared" si="11"/>
        <v>0</v>
      </c>
      <c r="BH20" s="23"/>
      <c r="BI20" s="25">
        <f t="shared" si="12"/>
        <v>0</v>
      </c>
      <c r="BJ20" s="26">
        <f t="shared" si="13"/>
        <v>0</v>
      </c>
      <c r="BK20" s="27"/>
    </row>
    <row r="21" spans="1:63" s="2" customFormat="1" ht="22.95" customHeight="1" x14ac:dyDescent="0.25">
      <c r="A21" s="7">
        <f t="shared" si="0"/>
        <v>17</v>
      </c>
      <c r="B21" s="3" t="s">
        <v>64</v>
      </c>
      <c r="C21" s="3" t="s">
        <v>46</v>
      </c>
      <c r="D21" s="22">
        <f t="shared" si="7"/>
        <v>0</v>
      </c>
      <c r="E21" s="23"/>
      <c r="F21" s="23"/>
      <c r="G21" s="23"/>
      <c r="H21" s="23">
        <f t="shared" si="8"/>
        <v>0</v>
      </c>
      <c r="I21" s="23"/>
      <c r="J21" s="23"/>
      <c r="K21" s="23"/>
      <c r="L21" s="22">
        <f t="shared" si="9"/>
        <v>0</v>
      </c>
      <c r="M21" s="23"/>
      <c r="N21" s="22">
        <f t="shared" si="1"/>
        <v>0</v>
      </c>
      <c r="O21" s="23"/>
      <c r="P21" s="23"/>
      <c r="Q21" s="23"/>
      <c r="R21" s="23"/>
      <c r="S21" s="22">
        <f t="shared" si="2"/>
        <v>0</v>
      </c>
      <c r="T21" s="23"/>
      <c r="U21" s="22">
        <f t="shared" si="3"/>
        <v>0</v>
      </c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2">
        <f t="shared" si="10"/>
        <v>0</v>
      </c>
      <c r="AM21" s="23"/>
      <c r="AN21" s="24"/>
      <c r="AO21" s="23"/>
      <c r="AP21" s="23"/>
      <c r="AQ21" s="24"/>
      <c r="AR21" s="22">
        <f t="shared" si="4"/>
        <v>0</v>
      </c>
      <c r="AS21" s="23"/>
      <c r="AT21" s="23"/>
      <c r="AU21" s="23"/>
      <c r="AV21" s="22">
        <f t="shared" si="5"/>
        <v>0</v>
      </c>
      <c r="AW21" s="23"/>
      <c r="AX21" s="23"/>
      <c r="AY21" s="23"/>
      <c r="AZ21" s="24"/>
      <c r="BA21" s="23"/>
      <c r="BB21" s="22">
        <f t="shared" si="6"/>
        <v>0</v>
      </c>
      <c r="BC21" s="23"/>
      <c r="BD21" s="23"/>
      <c r="BE21" s="23"/>
      <c r="BF21" s="23"/>
      <c r="BG21" s="22">
        <f t="shared" si="11"/>
        <v>0</v>
      </c>
      <c r="BH21" s="23"/>
      <c r="BI21" s="25">
        <f t="shared" si="12"/>
        <v>0</v>
      </c>
      <c r="BJ21" s="26">
        <f t="shared" si="13"/>
        <v>0</v>
      </c>
      <c r="BK21" s="27"/>
    </row>
    <row r="22" spans="1:63" s="2" customFormat="1" ht="22.95" customHeight="1" x14ac:dyDescent="0.25">
      <c r="A22" s="7">
        <f t="shared" si="0"/>
        <v>18</v>
      </c>
      <c r="B22" s="3" t="s">
        <v>65</v>
      </c>
      <c r="C22" s="3" t="s">
        <v>48</v>
      </c>
      <c r="D22" s="22">
        <f t="shared" si="7"/>
        <v>0</v>
      </c>
      <c r="E22" s="23"/>
      <c r="F22" s="23"/>
      <c r="G22" s="23"/>
      <c r="H22" s="23">
        <f t="shared" si="8"/>
        <v>0</v>
      </c>
      <c r="I22" s="23"/>
      <c r="J22" s="23"/>
      <c r="K22" s="23"/>
      <c r="L22" s="22">
        <f t="shared" si="9"/>
        <v>0</v>
      </c>
      <c r="M22" s="23"/>
      <c r="N22" s="22">
        <f t="shared" si="1"/>
        <v>0</v>
      </c>
      <c r="O22" s="23"/>
      <c r="P22" s="23"/>
      <c r="Q22" s="23"/>
      <c r="R22" s="23"/>
      <c r="S22" s="22">
        <f t="shared" si="2"/>
        <v>0</v>
      </c>
      <c r="T22" s="23"/>
      <c r="U22" s="22">
        <f t="shared" si="3"/>
        <v>0</v>
      </c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2">
        <f t="shared" si="10"/>
        <v>0</v>
      </c>
      <c r="AM22" s="23"/>
      <c r="AN22" s="23"/>
      <c r="AO22" s="24"/>
      <c r="AP22" s="23"/>
      <c r="AQ22" s="24"/>
      <c r="AR22" s="22">
        <f t="shared" si="4"/>
        <v>0</v>
      </c>
      <c r="AS22" s="23"/>
      <c r="AT22" s="23"/>
      <c r="AU22" s="23"/>
      <c r="AV22" s="22">
        <f t="shared" si="5"/>
        <v>0</v>
      </c>
      <c r="AW22" s="23"/>
      <c r="AX22" s="23"/>
      <c r="AY22" s="23"/>
      <c r="AZ22" s="24"/>
      <c r="BA22" s="24"/>
      <c r="BB22" s="22">
        <f t="shared" si="6"/>
        <v>0</v>
      </c>
      <c r="BC22" s="24"/>
      <c r="BD22" s="24"/>
      <c r="BE22" s="24"/>
      <c r="BF22" s="24"/>
      <c r="BG22" s="22">
        <f t="shared" si="11"/>
        <v>0</v>
      </c>
      <c r="BH22" s="24"/>
      <c r="BI22" s="25">
        <f t="shared" si="12"/>
        <v>0</v>
      </c>
      <c r="BJ22" s="26">
        <f t="shared" si="13"/>
        <v>0</v>
      </c>
      <c r="BK22" s="30"/>
    </row>
    <row r="23" spans="1:63" s="2" customFormat="1" ht="22.95" customHeight="1" x14ac:dyDescent="0.25">
      <c r="A23" s="7">
        <f t="shared" si="0"/>
        <v>19</v>
      </c>
      <c r="B23" s="3" t="s">
        <v>66</v>
      </c>
      <c r="C23" s="3" t="s">
        <v>50</v>
      </c>
      <c r="D23" s="22">
        <f t="shared" si="7"/>
        <v>0</v>
      </c>
      <c r="E23" s="23"/>
      <c r="F23" s="23"/>
      <c r="G23" s="23"/>
      <c r="H23" s="23">
        <f t="shared" si="8"/>
        <v>0</v>
      </c>
      <c r="I23" s="23"/>
      <c r="J23" s="23"/>
      <c r="K23" s="23"/>
      <c r="L23" s="22">
        <f t="shared" si="9"/>
        <v>0</v>
      </c>
      <c r="M23" s="23"/>
      <c r="N23" s="22">
        <f t="shared" si="1"/>
        <v>0</v>
      </c>
      <c r="O23" s="23"/>
      <c r="P23" s="23"/>
      <c r="Q23" s="23"/>
      <c r="R23" s="23"/>
      <c r="S23" s="22">
        <f t="shared" si="2"/>
        <v>0</v>
      </c>
      <c r="T23" s="23"/>
      <c r="U23" s="22">
        <f t="shared" si="3"/>
        <v>0</v>
      </c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2">
        <f t="shared" si="10"/>
        <v>0</v>
      </c>
      <c r="AM23" s="23"/>
      <c r="AN23" s="23"/>
      <c r="AO23" s="23"/>
      <c r="AP23" s="24"/>
      <c r="AQ23" s="23"/>
      <c r="AR23" s="22">
        <f t="shared" si="4"/>
        <v>0</v>
      </c>
      <c r="AS23" s="23"/>
      <c r="AT23" s="23"/>
      <c r="AU23" s="23"/>
      <c r="AV23" s="22">
        <f t="shared" si="5"/>
        <v>0</v>
      </c>
      <c r="AW23" s="23"/>
      <c r="AX23" s="23"/>
      <c r="AY23" s="23"/>
      <c r="AZ23" s="24"/>
      <c r="BA23" s="24"/>
      <c r="BB23" s="22">
        <f t="shared" si="6"/>
        <v>0</v>
      </c>
      <c r="BC23" s="23"/>
      <c r="BD23" s="23"/>
      <c r="BE23" s="23"/>
      <c r="BF23" s="23"/>
      <c r="BG23" s="22">
        <f t="shared" si="11"/>
        <v>0</v>
      </c>
      <c r="BH23" s="23"/>
      <c r="BI23" s="25">
        <f t="shared" si="12"/>
        <v>0</v>
      </c>
      <c r="BJ23" s="26">
        <f t="shared" si="13"/>
        <v>0</v>
      </c>
      <c r="BK23" s="28"/>
    </row>
    <row r="24" spans="1:63" s="2" customFormat="1" ht="22.95" customHeight="1" x14ac:dyDescent="0.25">
      <c r="A24" s="7">
        <f t="shared" si="0"/>
        <v>20</v>
      </c>
      <c r="B24" s="3" t="s">
        <v>67</v>
      </c>
      <c r="C24" s="3" t="s">
        <v>52</v>
      </c>
      <c r="D24" s="22">
        <f t="shared" si="7"/>
        <v>0</v>
      </c>
      <c r="E24" s="23"/>
      <c r="F24" s="23"/>
      <c r="G24" s="23"/>
      <c r="H24" s="23">
        <f t="shared" si="8"/>
        <v>0</v>
      </c>
      <c r="I24" s="23"/>
      <c r="J24" s="23"/>
      <c r="K24" s="23"/>
      <c r="L24" s="22">
        <f t="shared" si="9"/>
        <v>0</v>
      </c>
      <c r="M24" s="23"/>
      <c r="N24" s="22">
        <f t="shared" si="1"/>
        <v>0</v>
      </c>
      <c r="O24" s="23"/>
      <c r="P24" s="23"/>
      <c r="Q24" s="23"/>
      <c r="R24" s="23"/>
      <c r="S24" s="22">
        <f t="shared" si="2"/>
        <v>0</v>
      </c>
      <c r="T24" s="23"/>
      <c r="U24" s="22">
        <f t="shared" si="3"/>
        <v>0</v>
      </c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2">
        <f t="shared" si="10"/>
        <v>0</v>
      </c>
      <c r="AM24" s="23"/>
      <c r="AN24" s="23"/>
      <c r="AO24" s="23"/>
      <c r="AP24" s="23"/>
      <c r="AQ24" s="24"/>
      <c r="AR24" s="22">
        <f t="shared" si="4"/>
        <v>0</v>
      </c>
      <c r="AS24" s="23"/>
      <c r="AT24" s="23"/>
      <c r="AU24" s="23"/>
      <c r="AV24" s="22">
        <f t="shared" si="5"/>
        <v>0</v>
      </c>
      <c r="AW24" s="23"/>
      <c r="AX24" s="23"/>
      <c r="AY24" s="23"/>
      <c r="AZ24" s="24"/>
      <c r="BA24" s="23"/>
      <c r="BB24" s="22">
        <f t="shared" si="6"/>
        <v>0</v>
      </c>
      <c r="BC24" s="23"/>
      <c r="BD24" s="23"/>
      <c r="BE24" s="23"/>
      <c r="BF24" s="23"/>
      <c r="BG24" s="22">
        <f t="shared" si="11"/>
        <v>0</v>
      </c>
      <c r="BH24" s="23"/>
      <c r="BI24" s="25">
        <f t="shared" si="12"/>
        <v>0</v>
      </c>
      <c r="BJ24" s="26">
        <f t="shared" si="13"/>
        <v>0</v>
      </c>
      <c r="BK24" s="28"/>
    </row>
    <row r="25" spans="1:63" s="2" customFormat="1" ht="22.95" customHeight="1" x14ac:dyDescent="0.25">
      <c r="A25" s="7">
        <f t="shared" si="0"/>
        <v>21</v>
      </c>
      <c r="B25" s="3" t="s">
        <v>68</v>
      </c>
      <c r="C25" s="3" t="s">
        <v>54</v>
      </c>
      <c r="D25" s="22">
        <f t="shared" si="7"/>
        <v>0</v>
      </c>
      <c r="E25" s="23"/>
      <c r="F25" s="23"/>
      <c r="G25" s="23"/>
      <c r="H25" s="23">
        <f t="shared" si="8"/>
        <v>0</v>
      </c>
      <c r="I25" s="23"/>
      <c r="J25" s="23"/>
      <c r="K25" s="23"/>
      <c r="L25" s="22">
        <f t="shared" si="9"/>
        <v>0</v>
      </c>
      <c r="M25" s="23"/>
      <c r="N25" s="22">
        <f t="shared" si="1"/>
        <v>0</v>
      </c>
      <c r="O25" s="23"/>
      <c r="P25" s="23"/>
      <c r="Q25" s="23"/>
      <c r="R25" s="23"/>
      <c r="S25" s="22">
        <f t="shared" si="2"/>
        <v>0</v>
      </c>
      <c r="T25" s="23"/>
      <c r="U25" s="22">
        <f t="shared" si="3"/>
        <v>0</v>
      </c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2">
        <f t="shared" si="10"/>
        <v>0</v>
      </c>
      <c r="AM25" s="23"/>
      <c r="AN25" s="23"/>
      <c r="AO25" s="23"/>
      <c r="AP25" s="23"/>
      <c r="AQ25" s="23"/>
      <c r="AR25" s="22">
        <f t="shared" si="4"/>
        <v>0</v>
      </c>
      <c r="AS25" s="23"/>
      <c r="AT25" s="23"/>
      <c r="AU25" s="23"/>
      <c r="AV25" s="22">
        <f t="shared" si="5"/>
        <v>0</v>
      </c>
      <c r="AW25" s="23"/>
      <c r="AX25" s="23"/>
      <c r="AY25" s="23"/>
      <c r="AZ25" s="24"/>
      <c r="BA25" s="23"/>
      <c r="BB25" s="22">
        <f t="shared" si="6"/>
        <v>0</v>
      </c>
      <c r="BC25" s="23"/>
      <c r="BD25" s="23"/>
      <c r="BE25" s="23"/>
      <c r="BF25" s="23"/>
      <c r="BG25" s="22">
        <f t="shared" si="11"/>
        <v>0</v>
      </c>
      <c r="BH25" s="23"/>
      <c r="BI25" s="25">
        <f t="shared" si="12"/>
        <v>0</v>
      </c>
      <c r="BJ25" s="26">
        <f t="shared" si="13"/>
        <v>0</v>
      </c>
      <c r="BK25" s="28"/>
    </row>
    <row r="26" spans="1:63" s="2" customFormat="1" ht="22.95" customHeight="1" x14ac:dyDescent="0.25">
      <c r="A26" s="7">
        <f t="shared" si="0"/>
        <v>22</v>
      </c>
      <c r="B26" s="3" t="s">
        <v>69</v>
      </c>
      <c r="C26" s="3" t="s">
        <v>42</v>
      </c>
      <c r="D26" s="22">
        <f t="shared" si="7"/>
        <v>0</v>
      </c>
      <c r="E26" s="23"/>
      <c r="F26" s="23"/>
      <c r="G26" s="23"/>
      <c r="H26" s="23">
        <f t="shared" si="8"/>
        <v>0</v>
      </c>
      <c r="I26" s="23"/>
      <c r="J26" s="23"/>
      <c r="K26" s="23"/>
      <c r="L26" s="22">
        <f t="shared" si="9"/>
        <v>0</v>
      </c>
      <c r="M26" s="23"/>
      <c r="N26" s="22">
        <f t="shared" si="1"/>
        <v>0</v>
      </c>
      <c r="O26" s="23"/>
      <c r="P26" s="23"/>
      <c r="Q26" s="23"/>
      <c r="R26" s="23"/>
      <c r="S26" s="22">
        <f t="shared" si="2"/>
        <v>0</v>
      </c>
      <c r="T26" s="23"/>
      <c r="U26" s="22">
        <f t="shared" si="3"/>
        <v>0</v>
      </c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2">
        <f t="shared" si="10"/>
        <v>0</v>
      </c>
      <c r="AM26" s="23"/>
      <c r="AN26" s="23"/>
      <c r="AO26" s="23"/>
      <c r="AP26" s="23"/>
      <c r="AQ26" s="23"/>
      <c r="AR26" s="22">
        <f t="shared" si="4"/>
        <v>0</v>
      </c>
      <c r="AS26" s="23"/>
      <c r="AT26" s="23"/>
      <c r="AU26" s="23"/>
      <c r="AV26" s="22">
        <f t="shared" si="5"/>
        <v>0</v>
      </c>
      <c r="AW26" s="23"/>
      <c r="AX26" s="23"/>
      <c r="AY26" s="23"/>
      <c r="AZ26" s="24"/>
      <c r="BA26" s="23"/>
      <c r="BB26" s="22">
        <f t="shared" si="6"/>
        <v>0</v>
      </c>
      <c r="BC26" s="23"/>
      <c r="BD26" s="23"/>
      <c r="BE26" s="23"/>
      <c r="BF26" s="23"/>
      <c r="BG26" s="22">
        <f t="shared" si="11"/>
        <v>0</v>
      </c>
      <c r="BH26" s="23"/>
      <c r="BI26" s="25">
        <f t="shared" si="12"/>
        <v>0</v>
      </c>
      <c r="BJ26" s="26">
        <f t="shared" si="13"/>
        <v>0</v>
      </c>
      <c r="BK26" s="28"/>
    </row>
    <row r="27" spans="1:63" s="2" customFormat="1" ht="22.95" customHeight="1" x14ac:dyDescent="0.25">
      <c r="A27" s="7">
        <f t="shared" si="0"/>
        <v>23</v>
      </c>
      <c r="B27" s="3" t="s">
        <v>70</v>
      </c>
      <c r="C27" s="3" t="s">
        <v>44</v>
      </c>
      <c r="D27" s="22">
        <f t="shared" si="7"/>
        <v>0</v>
      </c>
      <c r="E27" s="23"/>
      <c r="F27" s="23"/>
      <c r="G27" s="23"/>
      <c r="H27" s="23">
        <f t="shared" si="8"/>
        <v>0</v>
      </c>
      <c r="I27" s="23"/>
      <c r="J27" s="23"/>
      <c r="K27" s="23"/>
      <c r="L27" s="22">
        <f t="shared" si="9"/>
        <v>0</v>
      </c>
      <c r="M27" s="23"/>
      <c r="N27" s="22">
        <f t="shared" si="1"/>
        <v>0</v>
      </c>
      <c r="O27" s="23"/>
      <c r="P27" s="23"/>
      <c r="Q27" s="23"/>
      <c r="R27" s="23"/>
      <c r="S27" s="22">
        <f t="shared" si="2"/>
        <v>0</v>
      </c>
      <c r="T27" s="23"/>
      <c r="U27" s="22">
        <f t="shared" si="3"/>
        <v>0</v>
      </c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2">
        <f t="shared" si="10"/>
        <v>0</v>
      </c>
      <c r="AM27" s="23"/>
      <c r="AN27" s="23"/>
      <c r="AO27" s="23"/>
      <c r="AP27" s="23"/>
      <c r="AQ27" s="24"/>
      <c r="AR27" s="22">
        <f t="shared" ref="AR27:AR35" si="14">AN27-AO27-AP27-AQ27</f>
        <v>0</v>
      </c>
      <c r="AS27" s="23"/>
      <c r="AT27" s="23"/>
      <c r="AU27" s="23"/>
      <c r="AV27" s="22">
        <f t="shared" si="5"/>
        <v>0</v>
      </c>
      <c r="AW27" s="23"/>
      <c r="AX27" s="23"/>
      <c r="AY27" s="23"/>
      <c r="AZ27" s="24"/>
      <c r="BA27" s="23"/>
      <c r="BB27" s="22">
        <f t="shared" si="6"/>
        <v>0</v>
      </c>
      <c r="BC27" s="23"/>
      <c r="BD27" s="23"/>
      <c r="BE27" s="23"/>
      <c r="BF27" s="23"/>
      <c r="BG27" s="22">
        <f t="shared" si="11"/>
        <v>0</v>
      </c>
      <c r="BH27" s="23"/>
      <c r="BI27" s="25">
        <f t="shared" si="12"/>
        <v>0</v>
      </c>
      <c r="BJ27" s="26">
        <f t="shared" si="13"/>
        <v>0</v>
      </c>
      <c r="BK27" s="28"/>
    </row>
    <row r="28" spans="1:63" s="2" customFormat="1" ht="22.95" customHeight="1" x14ac:dyDescent="0.25">
      <c r="A28" s="7">
        <f t="shared" si="0"/>
        <v>24</v>
      </c>
      <c r="B28" s="3" t="s">
        <v>71</v>
      </c>
      <c r="C28" s="3" t="s">
        <v>46</v>
      </c>
      <c r="D28" s="22">
        <f t="shared" si="7"/>
        <v>0</v>
      </c>
      <c r="E28" s="23"/>
      <c r="F28" s="23"/>
      <c r="G28" s="23"/>
      <c r="H28" s="23">
        <f t="shared" si="8"/>
        <v>0</v>
      </c>
      <c r="I28" s="23"/>
      <c r="J28" s="23"/>
      <c r="K28" s="23"/>
      <c r="L28" s="22">
        <f t="shared" si="9"/>
        <v>0</v>
      </c>
      <c r="M28" s="23"/>
      <c r="N28" s="22">
        <f t="shared" si="1"/>
        <v>0</v>
      </c>
      <c r="O28" s="23"/>
      <c r="P28" s="23"/>
      <c r="Q28" s="23"/>
      <c r="R28" s="23"/>
      <c r="S28" s="22">
        <f t="shared" si="2"/>
        <v>0</v>
      </c>
      <c r="T28" s="23"/>
      <c r="U28" s="22">
        <f t="shared" si="3"/>
        <v>0</v>
      </c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2">
        <f t="shared" si="10"/>
        <v>0</v>
      </c>
      <c r="AM28" s="23"/>
      <c r="AN28" s="24"/>
      <c r="AO28" s="23"/>
      <c r="AP28" s="23"/>
      <c r="AQ28" s="24"/>
      <c r="AR28" s="22">
        <f t="shared" si="14"/>
        <v>0</v>
      </c>
      <c r="AS28" s="23"/>
      <c r="AT28" s="23"/>
      <c r="AU28" s="23"/>
      <c r="AV28" s="22">
        <f t="shared" si="5"/>
        <v>0</v>
      </c>
      <c r="AW28" s="23"/>
      <c r="AX28" s="23"/>
      <c r="AY28" s="23"/>
      <c r="AZ28" s="24"/>
      <c r="BA28" s="24"/>
      <c r="BB28" s="22">
        <f t="shared" si="6"/>
        <v>0</v>
      </c>
      <c r="BC28" s="23"/>
      <c r="BD28" s="23"/>
      <c r="BE28" s="23"/>
      <c r="BF28" s="23"/>
      <c r="BG28" s="22">
        <f t="shared" si="11"/>
        <v>0</v>
      </c>
      <c r="BH28" s="23"/>
      <c r="BI28" s="25">
        <f t="shared" si="12"/>
        <v>0</v>
      </c>
      <c r="BJ28" s="26">
        <f t="shared" si="13"/>
        <v>0</v>
      </c>
      <c r="BK28" s="28"/>
    </row>
    <row r="29" spans="1:63" s="2" customFormat="1" ht="22.95" customHeight="1" x14ac:dyDescent="0.25">
      <c r="A29" s="7">
        <f t="shared" si="0"/>
        <v>25</v>
      </c>
      <c r="B29" s="3" t="s">
        <v>72</v>
      </c>
      <c r="C29" s="3" t="s">
        <v>48</v>
      </c>
      <c r="D29" s="22">
        <f t="shared" si="7"/>
        <v>0</v>
      </c>
      <c r="E29" s="23"/>
      <c r="F29" s="23"/>
      <c r="G29" s="23"/>
      <c r="H29" s="23">
        <f t="shared" si="8"/>
        <v>0</v>
      </c>
      <c r="I29" s="23"/>
      <c r="J29" s="23"/>
      <c r="K29" s="23"/>
      <c r="L29" s="22">
        <f t="shared" si="9"/>
        <v>0</v>
      </c>
      <c r="M29" s="23"/>
      <c r="N29" s="22">
        <f t="shared" si="1"/>
        <v>0</v>
      </c>
      <c r="O29" s="23"/>
      <c r="P29" s="23"/>
      <c r="Q29" s="23"/>
      <c r="R29" s="23"/>
      <c r="S29" s="22">
        <f t="shared" si="2"/>
        <v>0</v>
      </c>
      <c r="T29" s="23"/>
      <c r="U29" s="22">
        <f t="shared" si="3"/>
        <v>0</v>
      </c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2">
        <f t="shared" si="10"/>
        <v>0</v>
      </c>
      <c r="AM29" s="23"/>
      <c r="AN29" s="24"/>
      <c r="AO29" s="24"/>
      <c r="AP29" s="23"/>
      <c r="AQ29" s="23"/>
      <c r="AR29" s="22">
        <f t="shared" si="14"/>
        <v>0</v>
      </c>
      <c r="AS29" s="23"/>
      <c r="AT29" s="23"/>
      <c r="AU29" s="23"/>
      <c r="AV29" s="22">
        <f t="shared" si="5"/>
        <v>0</v>
      </c>
      <c r="AW29" s="23"/>
      <c r="AX29" s="23"/>
      <c r="AY29" s="23"/>
      <c r="AZ29" s="24"/>
      <c r="BA29" s="23"/>
      <c r="BB29" s="22">
        <f t="shared" si="6"/>
        <v>0</v>
      </c>
      <c r="BC29" s="23"/>
      <c r="BD29" s="23"/>
      <c r="BE29" s="23"/>
      <c r="BF29" s="23"/>
      <c r="BG29" s="22">
        <f t="shared" si="11"/>
        <v>0</v>
      </c>
      <c r="BH29" s="23"/>
      <c r="BI29" s="25">
        <f t="shared" si="12"/>
        <v>0</v>
      </c>
      <c r="BJ29" s="26">
        <f t="shared" si="13"/>
        <v>0</v>
      </c>
      <c r="BK29" s="28"/>
    </row>
    <row r="30" spans="1:63" s="2" customFormat="1" ht="22.95" customHeight="1" x14ac:dyDescent="0.25">
      <c r="A30" s="7">
        <f t="shared" si="0"/>
        <v>26</v>
      </c>
      <c r="B30" s="3" t="s">
        <v>73</v>
      </c>
      <c r="C30" s="3" t="s">
        <v>50</v>
      </c>
      <c r="D30" s="22">
        <f t="shared" si="7"/>
        <v>0</v>
      </c>
      <c r="E30" s="23"/>
      <c r="F30" s="23"/>
      <c r="G30" s="23"/>
      <c r="H30" s="23">
        <f t="shared" si="8"/>
        <v>0</v>
      </c>
      <c r="I30" s="23"/>
      <c r="J30" s="23"/>
      <c r="K30" s="23"/>
      <c r="L30" s="22">
        <f t="shared" si="9"/>
        <v>0</v>
      </c>
      <c r="M30" s="23"/>
      <c r="N30" s="22">
        <f t="shared" si="1"/>
        <v>0</v>
      </c>
      <c r="O30" s="23"/>
      <c r="P30" s="23"/>
      <c r="Q30" s="23"/>
      <c r="R30" s="23"/>
      <c r="S30" s="22">
        <f t="shared" si="2"/>
        <v>0</v>
      </c>
      <c r="T30" s="23"/>
      <c r="U30" s="22">
        <f t="shared" si="3"/>
        <v>0</v>
      </c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2">
        <f t="shared" si="10"/>
        <v>0</v>
      </c>
      <c r="AM30" s="23"/>
      <c r="AN30" s="23"/>
      <c r="AO30" s="23"/>
      <c r="AP30" s="23"/>
      <c r="AQ30" s="23"/>
      <c r="AR30" s="22">
        <f t="shared" si="14"/>
        <v>0</v>
      </c>
      <c r="AS30" s="23"/>
      <c r="AT30" s="23"/>
      <c r="AU30" s="23"/>
      <c r="AV30" s="22">
        <f t="shared" si="5"/>
        <v>0</v>
      </c>
      <c r="AW30" s="23"/>
      <c r="AX30" s="23"/>
      <c r="AY30" s="23"/>
      <c r="AZ30" s="24"/>
      <c r="BA30" s="23"/>
      <c r="BB30" s="22">
        <f t="shared" si="6"/>
        <v>0</v>
      </c>
      <c r="BC30" s="23"/>
      <c r="BD30" s="23"/>
      <c r="BE30" s="23"/>
      <c r="BF30" s="23"/>
      <c r="BG30" s="22">
        <f t="shared" si="11"/>
        <v>0</v>
      </c>
      <c r="BH30" s="23"/>
      <c r="BI30" s="25">
        <f t="shared" si="12"/>
        <v>0</v>
      </c>
      <c r="BJ30" s="26">
        <f t="shared" si="13"/>
        <v>0</v>
      </c>
      <c r="BK30" s="28"/>
    </row>
    <row r="31" spans="1:63" s="2" customFormat="1" ht="22.95" customHeight="1" x14ac:dyDescent="0.25">
      <c r="A31" s="7">
        <f t="shared" si="0"/>
        <v>27</v>
      </c>
      <c r="B31" s="3" t="s">
        <v>74</v>
      </c>
      <c r="C31" s="3" t="s">
        <v>52</v>
      </c>
      <c r="D31" s="22">
        <f t="shared" si="7"/>
        <v>0</v>
      </c>
      <c r="E31" s="23"/>
      <c r="F31" s="23"/>
      <c r="G31" s="23"/>
      <c r="H31" s="23">
        <f t="shared" si="8"/>
        <v>0</v>
      </c>
      <c r="I31" s="23"/>
      <c r="J31" s="23"/>
      <c r="K31" s="23"/>
      <c r="L31" s="22">
        <f t="shared" si="9"/>
        <v>0</v>
      </c>
      <c r="M31" s="23"/>
      <c r="N31" s="22">
        <f t="shared" si="1"/>
        <v>0</v>
      </c>
      <c r="O31" s="23"/>
      <c r="P31" s="23"/>
      <c r="Q31" s="23"/>
      <c r="R31" s="23"/>
      <c r="S31" s="22">
        <f t="shared" si="2"/>
        <v>0</v>
      </c>
      <c r="T31" s="23"/>
      <c r="U31" s="22">
        <f t="shared" si="3"/>
        <v>0</v>
      </c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2">
        <f t="shared" si="10"/>
        <v>0</v>
      </c>
      <c r="AM31" s="23"/>
      <c r="AN31" s="23"/>
      <c r="AO31" s="23"/>
      <c r="AP31" s="23"/>
      <c r="AQ31" s="23"/>
      <c r="AR31" s="22">
        <f t="shared" si="14"/>
        <v>0</v>
      </c>
      <c r="AS31" s="23"/>
      <c r="AT31" s="23"/>
      <c r="AU31" s="23"/>
      <c r="AV31" s="22">
        <f t="shared" si="5"/>
        <v>0</v>
      </c>
      <c r="AW31" s="23"/>
      <c r="AX31" s="23"/>
      <c r="AY31" s="23"/>
      <c r="AZ31" s="24"/>
      <c r="BA31" s="24"/>
      <c r="BB31" s="22">
        <f t="shared" si="6"/>
        <v>0</v>
      </c>
      <c r="BC31" s="23"/>
      <c r="BD31" s="23"/>
      <c r="BE31" s="23"/>
      <c r="BF31" s="23"/>
      <c r="BG31" s="22">
        <f t="shared" si="11"/>
        <v>0</v>
      </c>
      <c r="BH31" s="23"/>
      <c r="BI31" s="25">
        <f t="shared" si="12"/>
        <v>0</v>
      </c>
      <c r="BJ31" s="26">
        <f t="shared" si="13"/>
        <v>0</v>
      </c>
      <c r="BK31" s="28"/>
    </row>
    <row r="32" spans="1:63" s="2" customFormat="1" ht="22.95" customHeight="1" x14ac:dyDescent="0.25">
      <c r="A32" s="7">
        <f t="shared" si="0"/>
        <v>28</v>
      </c>
      <c r="B32" s="3" t="s">
        <v>75</v>
      </c>
      <c r="C32" s="3" t="s">
        <v>54</v>
      </c>
      <c r="D32" s="22">
        <f t="shared" si="7"/>
        <v>0</v>
      </c>
      <c r="E32" s="23"/>
      <c r="F32" s="23"/>
      <c r="G32" s="23"/>
      <c r="H32" s="23">
        <f t="shared" si="8"/>
        <v>0</v>
      </c>
      <c r="I32" s="23"/>
      <c r="J32" s="23"/>
      <c r="K32" s="23"/>
      <c r="L32" s="22">
        <f t="shared" si="9"/>
        <v>0</v>
      </c>
      <c r="M32" s="23"/>
      <c r="N32" s="22">
        <f t="shared" si="1"/>
        <v>0</v>
      </c>
      <c r="O32" s="23"/>
      <c r="P32" s="23"/>
      <c r="Q32" s="23"/>
      <c r="R32" s="23"/>
      <c r="S32" s="22">
        <f t="shared" si="2"/>
        <v>0</v>
      </c>
      <c r="T32" s="23"/>
      <c r="U32" s="22">
        <f t="shared" si="3"/>
        <v>0</v>
      </c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2">
        <f t="shared" si="10"/>
        <v>0</v>
      </c>
      <c r="AM32" s="23"/>
      <c r="AN32" s="24"/>
      <c r="AO32" s="23"/>
      <c r="AP32" s="23"/>
      <c r="AQ32" s="23"/>
      <c r="AR32" s="22">
        <f t="shared" si="14"/>
        <v>0</v>
      </c>
      <c r="AS32" s="23"/>
      <c r="AT32" s="23"/>
      <c r="AU32" s="23"/>
      <c r="AV32" s="22">
        <f t="shared" si="5"/>
        <v>0</v>
      </c>
      <c r="AW32" s="23"/>
      <c r="AX32" s="23"/>
      <c r="AY32" s="23"/>
      <c r="AZ32" s="24"/>
      <c r="BA32" s="23"/>
      <c r="BB32" s="22">
        <f t="shared" si="6"/>
        <v>0</v>
      </c>
      <c r="BC32" s="23"/>
      <c r="BD32" s="23"/>
      <c r="BE32" s="23"/>
      <c r="BF32" s="23"/>
      <c r="BG32" s="22">
        <f t="shared" si="11"/>
        <v>0</v>
      </c>
      <c r="BH32" s="23"/>
      <c r="BI32" s="25">
        <f t="shared" si="12"/>
        <v>0</v>
      </c>
      <c r="BJ32" s="26">
        <f t="shared" si="13"/>
        <v>0</v>
      </c>
      <c r="BK32" s="27"/>
    </row>
    <row r="33" spans="1:63" s="2" customFormat="1" ht="22.95" customHeight="1" x14ac:dyDescent="0.25">
      <c r="A33" s="7">
        <f t="shared" si="0"/>
        <v>29</v>
      </c>
      <c r="B33" s="3" t="s">
        <v>76</v>
      </c>
      <c r="C33" s="3" t="s">
        <v>42</v>
      </c>
      <c r="D33" s="22">
        <f t="shared" si="7"/>
        <v>0</v>
      </c>
      <c r="E33" s="23"/>
      <c r="F33" s="23"/>
      <c r="G33" s="23"/>
      <c r="H33" s="23">
        <f t="shared" si="8"/>
        <v>0</v>
      </c>
      <c r="I33" s="23"/>
      <c r="J33" s="23"/>
      <c r="K33" s="23"/>
      <c r="L33" s="22">
        <f t="shared" si="9"/>
        <v>0</v>
      </c>
      <c r="M33" s="23"/>
      <c r="N33" s="22">
        <f t="shared" si="1"/>
        <v>0</v>
      </c>
      <c r="O33" s="23"/>
      <c r="P33" s="23"/>
      <c r="Q33" s="23"/>
      <c r="R33" s="23"/>
      <c r="S33" s="22">
        <f t="shared" si="2"/>
        <v>0</v>
      </c>
      <c r="T33" s="23"/>
      <c r="U33" s="22">
        <f t="shared" si="3"/>
        <v>0</v>
      </c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2">
        <f t="shared" si="10"/>
        <v>0</v>
      </c>
      <c r="AM33" s="23"/>
      <c r="AN33" s="24"/>
      <c r="AO33" s="23"/>
      <c r="AP33" s="23"/>
      <c r="AQ33" s="23"/>
      <c r="AR33" s="22">
        <f t="shared" si="14"/>
        <v>0</v>
      </c>
      <c r="AS33" s="23"/>
      <c r="AT33" s="23"/>
      <c r="AU33" s="23"/>
      <c r="AV33" s="22">
        <f t="shared" si="5"/>
        <v>0</v>
      </c>
      <c r="AW33" s="23"/>
      <c r="AX33" s="23"/>
      <c r="AY33" s="23"/>
      <c r="AZ33" s="24"/>
      <c r="BA33" s="23"/>
      <c r="BB33" s="22">
        <f t="shared" si="6"/>
        <v>0</v>
      </c>
      <c r="BC33" s="23"/>
      <c r="BD33" s="23"/>
      <c r="BE33" s="23"/>
      <c r="BF33" s="23"/>
      <c r="BG33" s="22">
        <f t="shared" si="11"/>
        <v>0</v>
      </c>
      <c r="BH33" s="23"/>
      <c r="BI33" s="25">
        <f t="shared" si="12"/>
        <v>0</v>
      </c>
      <c r="BJ33" s="26">
        <f t="shared" si="13"/>
        <v>0</v>
      </c>
      <c r="BK33" s="27"/>
    </row>
    <row r="34" spans="1:63" s="2" customFormat="1" ht="22.95" customHeight="1" x14ac:dyDescent="0.25">
      <c r="A34" s="7">
        <f t="shared" si="0"/>
        <v>30</v>
      </c>
      <c r="B34" s="3" t="s">
        <v>77</v>
      </c>
      <c r="C34" s="3" t="s">
        <v>44</v>
      </c>
      <c r="D34" s="22">
        <f t="shared" si="7"/>
        <v>0</v>
      </c>
      <c r="E34" s="23"/>
      <c r="F34" s="23"/>
      <c r="G34" s="23"/>
      <c r="H34" s="23">
        <f t="shared" si="8"/>
        <v>0</v>
      </c>
      <c r="I34" s="23"/>
      <c r="J34" s="23"/>
      <c r="K34" s="23"/>
      <c r="L34" s="22">
        <f t="shared" si="9"/>
        <v>0</v>
      </c>
      <c r="M34" s="23"/>
      <c r="N34" s="22">
        <f t="shared" si="1"/>
        <v>0</v>
      </c>
      <c r="O34" s="23"/>
      <c r="P34" s="23"/>
      <c r="Q34" s="23"/>
      <c r="R34" s="23"/>
      <c r="S34" s="22">
        <f t="shared" si="2"/>
        <v>0</v>
      </c>
      <c r="T34" s="23"/>
      <c r="U34" s="22">
        <f t="shared" si="3"/>
        <v>0</v>
      </c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2">
        <f t="shared" si="10"/>
        <v>0</v>
      </c>
      <c r="AM34" s="23"/>
      <c r="AN34" s="24"/>
      <c r="AO34" s="23"/>
      <c r="AP34" s="23"/>
      <c r="AQ34" s="23"/>
      <c r="AR34" s="22">
        <f t="shared" si="14"/>
        <v>0</v>
      </c>
      <c r="AS34" s="23"/>
      <c r="AT34" s="23"/>
      <c r="AU34" s="23"/>
      <c r="AV34" s="22">
        <f t="shared" si="5"/>
        <v>0</v>
      </c>
      <c r="AW34" s="23"/>
      <c r="AX34" s="23"/>
      <c r="AY34" s="23"/>
      <c r="AZ34" s="24"/>
      <c r="BA34" s="23"/>
      <c r="BB34" s="22">
        <f t="shared" si="6"/>
        <v>0</v>
      </c>
      <c r="BC34" s="23"/>
      <c r="BD34" s="23"/>
      <c r="BE34" s="23"/>
      <c r="BF34" s="23"/>
      <c r="BG34" s="22">
        <f t="shared" si="11"/>
        <v>0</v>
      </c>
      <c r="BH34" s="23"/>
      <c r="BI34" s="25">
        <f t="shared" si="12"/>
        <v>0</v>
      </c>
      <c r="BJ34" s="26">
        <f t="shared" si="13"/>
        <v>0</v>
      </c>
      <c r="BK34" s="27"/>
    </row>
    <row r="35" spans="1:63" s="2" customFormat="1" ht="22.95" customHeight="1" x14ac:dyDescent="0.25">
      <c r="A35" s="7">
        <f t="shared" si="0"/>
        <v>31</v>
      </c>
      <c r="B35" s="3"/>
      <c r="C35" s="3"/>
      <c r="D35" s="22">
        <f t="shared" si="7"/>
        <v>0</v>
      </c>
      <c r="E35" s="23"/>
      <c r="F35" s="23"/>
      <c r="G35" s="23"/>
      <c r="H35" s="23">
        <f t="shared" si="8"/>
        <v>0</v>
      </c>
      <c r="I35" s="23"/>
      <c r="J35" s="23"/>
      <c r="K35" s="23"/>
      <c r="L35" s="22">
        <f t="shared" si="9"/>
        <v>0</v>
      </c>
      <c r="M35" s="23"/>
      <c r="N35" s="22">
        <f t="shared" si="1"/>
        <v>0</v>
      </c>
      <c r="O35" s="23"/>
      <c r="P35" s="23"/>
      <c r="Q35" s="23"/>
      <c r="R35" s="23"/>
      <c r="S35" s="22">
        <f t="shared" si="2"/>
        <v>0</v>
      </c>
      <c r="T35" s="23"/>
      <c r="U35" s="22">
        <f t="shared" si="3"/>
        <v>0</v>
      </c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2">
        <f t="shared" si="10"/>
        <v>0</v>
      </c>
      <c r="AM35" s="23"/>
      <c r="AN35" s="24"/>
      <c r="AO35" s="23"/>
      <c r="AP35" s="23"/>
      <c r="AQ35" s="23"/>
      <c r="AR35" s="22">
        <f t="shared" si="14"/>
        <v>0</v>
      </c>
      <c r="AS35" s="23"/>
      <c r="AT35" s="23"/>
      <c r="AU35" s="23"/>
      <c r="AV35" s="22">
        <f t="shared" si="5"/>
        <v>0</v>
      </c>
      <c r="AW35" s="23"/>
      <c r="AX35" s="23"/>
      <c r="AY35" s="23"/>
      <c r="AZ35" s="24"/>
      <c r="BA35" s="23"/>
      <c r="BB35" s="22">
        <f t="shared" si="6"/>
        <v>0</v>
      </c>
      <c r="BC35" s="23"/>
      <c r="BD35" s="23"/>
      <c r="BE35" s="23"/>
      <c r="BF35" s="23"/>
      <c r="BG35" s="22">
        <f t="shared" si="11"/>
        <v>0</v>
      </c>
      <c r="BH35" s="23"/>
      <c r="BI35" s="25">
        <f t="shared" si="12"/>
        <v>0</v>
      </c>
      <c r="BJ35" s="26">
        <f t="shared" si="13"/>
        <v>0</v>
      </c>
      <c r="BK35" s="27"/>
    </row>
    <row r="36" spans="1:63" s="2" customFormat="1" ht="22.95" customHeight="1" x14ac:dyDescent="0.25">
      <c r="A36" s="7">
        <f t="shared" si="0"/>
        <v>32</v>
      </c>
      <c r="B36" s="7" t="s">
        <v>78</v>
      </c>
      <c r="C36" s="20"/>
      <c r="D36" s="31">
        <f t="shared" ref="D36:BJ36" si="15">SUM(D5:D35)</f>
        <v>0</v>
      </c>
      <c r="E36" s="31">
        <f t="shared" si="15"/>
        <v>0</v>
      </c>
      <c r="F36" s="31">
        <f t="shared" si="15"/>
        <v>0</v>
      </c>
      <c r="G36" s="31">
        <f t="shared" si="15"/>
        <v>0</v>
      </c>
      <c r="H36" s="31">
        <f t="shared" ref="H36" si="16">SUM(H5:H35)</f>
        <v>0</v>
      </c>
      <c r="I36" s="31">
        <f t="shared" si="15"/>
        <v>0</v>
      </c>
      <c r="J36" s="31">
        <f t="shared" si="15"/>
        <v>0</v>
      </c>
      <c r="K36" s="31">
        <f t="shared" si="15"/>
        <v>0</v>
      </c>
      <c r="L36" s="31">
        <f t="shared" si="15"/>
        <v>0</v>
      </c>
      <c r="M36" s="31">
        <f t="shared" si="15"/>
        <v>0</v>
      </c>
      <c r="N36" s="31">
        <f t="shared" si="15"/>
        <v>0</v>
      </c>
      <c r="O36" s="31">
        <f t="shared" si="15"/>
        <v>0</v>
      </c>
      <c r="P36" s="31">
        <f t="shared" si="15"/>
        <v>0</v>
      </c>
      <c r="Q36" s="31">
        <f t="shared" si="15"/>
        <v>0</v>
      </c>
      <c r="R36" s="31">
        <f t="shared" si="15"/>
        <v>0</v>
      </c>
      <c r="S36" s="31">
        <f t="shared" si="15"/>
        <v>0</v>
      </c>
      <c r="T36" s="31">
        <f t="shared" si="15"/>
        <v>0</v>
      </c>
      <c r="U36" s="31">
        <f t="shared" si="15"/>
        <v>0</v>
      </c>
      <c r="V36" s="31">
        <f t="shared" si="15"/>
        <v>0</v>
      </c>
      <c r="W36" s="31">
        <f t="shared" si="15"/>
        <v>0</v>
      </c>
      <c r="X36" s="31">
        <f t="shared" si="15"/>
        <v>0</v>
      </c>
      <c r="Y36" s="31">
        <f t="shared" si="15"/>
        <v>0</v>
      </c>
      <c r="Z36" s="31">
        <f t="shared" si="15"/>
        <v>0</v>
      </c>
      <c r="AA36" s="31">
        <f t="shared" si="15"/>
        <v>0</v>
      </c>
      <c r="AB36" s="31">
        <f t="shared" si="15"/>
        <v>0</v>
      </c>
      <c r="AC36" s="31">
        <f t="shared" si="15"/>
        <v>0</v>
      </c>
      <c r="AD36" s="31">
        <f t="shared" si="15"/>
        <v>0</v>
      </c>
      <c r="AE36" s="31">
        <f t="shared" si="15"/>
        <v>0</v>
      </c>
      <c r="AF36" s="31">
        <f t="shared" si="15"/>
        <v>0</v>
      </c>
      <c r="AG36" s="31">
        <f t="shared" si="15"/>
        <v>0</v>
      </c>
      <c r="AH36" s="31">
        <f t="shared" si="15"/>
        <v>0</v>
      </c>
      <c r="AI36" s="31">
        <f t="shared" si="15"/>
        <v>0</v>
      </c>
      <c r="AJ36" s="31">
        <f t="shared" si="15"/>
        <v>0</v>
      </c>
      <c r="AK36" s="31">
        <f t="shared" si="15"/>
        <v>0</v>
      </c>
      <c r="AL36" s="31">
        <f t="shared" si="15"/>
        <v>0</v>
      </c>
      <c r="AM36" s="31">
        <f t="shared" si="15"/>
        <v>0</v>
      </c>
      <c r="AN36" s="31">
        <f t="shared" si="15"/>
        <v>0</v>
      </c>
      <c r="AO36" s="31">
        <f t="shared" si="15"/>
        <v>0</v>
      </c>
      <c r="AP36" s="31">
        <f t="shared" si="15"/>
        <v>0</v>
      </c>
      <c r="AQ36" s="31">
        <f t="shared" si="15"/>
        <v>0</v>
      </c>
      <c r="AR36" s="31">
        <f t="shared" si="15"/>
        <v>0</v>
      </c>
      <c r="AS36" s="31">
        <f t="shared" si="15"/>
        <v>0</v>
      </c>
      <c r="AT36" s="31">
        <f t="shared" si="15"/>
        <v>0</v>
      </c>
      <c r="AU36" s="31">
        <f t="shared" si="15"/>
        <v>0</v>
      </c>
      <c r="AV36" s="31">
        <f t="shared" si="15"/>
        <v>0</v>
      </c>
      <c r="AW36" s="31">
        <f t="shared" si="15"/>
        <v>0</v>
      </c>
      <c r="AX36" s="31">
        <f t="shared" si="15"/>
        <v>0</v>
      </c>
      <c r="AY36" s="31">
        <f t="shared" si="15"/>
        <v>0</v>
      </c>
      <c r="AZ36" s="31">
        <f t="shared" si="15"/>
        <v>0</v>
      </c>
      <c r="BA36" s="31">
        <f t="shared" si="15"/>
        <v>0</v>
      </c>
      <c r="BB36" s="31">
        <f t="shared" si="15"/>
        <v>0</v>
      </c>
      <c r="BC36" s="31">
        <f t="shared" si="15"/>
        <v>0</v>
      </c>
      <c r="BD36" s="31">
        <f t="shared" si="15"/>
        <v>0</v>
      </c>
      <c r="BE36" s="31">
        <f t="shared" si="15"/>
        <v>0</v>
      </c>
      <c r="BF36" s="31">
        <f t="shared" si="15"/>
        <v>0</v>
      </c>
      <c r="BG36" s="31">
        <f t="shared" si="15"/>
        <v>0</v>
      </c>
      <c r="BH36" s="31">
        <f t="shared" si="15"/>
        <v>0</v>
      </c>
      <c r="BI36" s="31">
        <f t="shared" si="15"/>
        <v>0</v>
      </c>
      <c r="BJ36" s="31">
        <f t="shared" si="15"/>
        <v>0</v>
      </c>
      <c r="BK36" s="27"/>
    </row>
    <row r="37" spans="1:63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5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5"/>
      <c r="BJ37" s="5"/>
      <c r="BK37" s="4"/>
    </row>
    <row r="38" spans="1:63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5"/>
      <c r="N38" s="5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5"/>
      <c r="BJ38" s="5"/>
      <c r="BK38" s="4"/>
    </row>
    <row r="39" spans="1:63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5"/>
      <c r="BJ39" s="5"/>
      <c r="BK39" s="4"/>
    </row>
    <row r="40" spans="1:63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5"/>
      <c r="N40" s="5"/>
      <c r="O40" s="4"/>
      <c r="P40" s="4"/>
      <c r="Q40" s="4"/>
      <c r="R40" s="4"/>
      <c r="S40" s="4"/>
      <c r="U40" s="6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5"/>
      <c r="BJ40" s="5"/>
      <c r="BK40" s="4"/>
    </row>
    <row r="41" spans="1:63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5"/>
      <c r="N41" s="5"/>
      <c r="O41" s="4"/>
      <c r="P41" s="4"/>
      <c r="Q41" s="4"/>
      <c r="R41" s="4"/>
      <c r="S41" s="4"/>
      <c r="U41" s="6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5"/>
      <c r="BJ41" s="5"/>
      <c r="BK41" s="4"/>
    </row>
    <row r="42" spans="1:63" x14ac:dyDescent="0.25">
      <c r="A42" s="4"/>
      <c r="B42" s="4"/>
      <c r="C42" s="4"/>
      <c r="D42" s="4"/>
      <c r="E42" s="4"/>
      <c r="F42" s="4"/>
      <c r="G42" s="4"/>
      <c r="H42" s="4"/>
      <c r="I42" s="4"/>
      <c r="K42" s="4"/>
      <c r="L42" s="4"/>
      <c r="M42" s="5"/>
      <c r="N42" s="5"/>
      <c r="O42" s="4"/>
      <c r="P42" s="4"/>
      <c r="Q42" s="4"/>
      <c r="R42" s="4"/>
      <c r="S42" s="4"/>
      <c r="U42" s="6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5"/>
      <c r="BJ42" s="5"/>
      <c r="BK42" s="4"/>
    </row>
    <row r="43" spans="1:63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5"/>
      <c r="N43" s="5"/>
      <c r="O43" s="4"/>
      <c r="P43" s="4"/>
      <c r="Q43" s="4"/>
      <c r="R43" s="4"/>
      <c r="S43" s="4"/>
      <c r="U43" s="6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5"/>
      <c r="BJ43" s="5"/>
      <c r="BK43" s="4"/>
    </row>
    <row r="44" spans="1:63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5"/>
      <c r="N44" s="5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5"/>
      <c r="BJ44" s="5"/>
      <c r="BK44" s="4"/>
    </row>
    <row r="45" spans="1:63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5"/>
      <c r="N45" s="5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5"/>
      <c r="BJ45" s="5"/>
      <c r="BK45" s="4"/>
    </row>
    <row r="46" spans="1:63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5"/>
      <c r="N46" s="5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5"/>
      <c r="BJ46" s="5"/>
      <c r="BK46" s="4"/>
    </row>
    <row r="47" spans="1:63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5"/>
      <c r="N47" s="5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5"/>
      <c r="BJ47" s="5"/>
      <c r="BK47" s="4"/>
    </row>
    <row r="48" spans="1:63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5"/>
      <c r="N48" s="5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5"/>
      <c r="BJ48" s="5"/>
      <c r="BK48" s="4"/>
    </row>
    <row r="49" spans="1:63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5"/>
      <c r="N49" s="5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5"/>
      <c r="BJ49" s="5"/>
      <c r="BK49" s="4"/>
    </row>
    <row r="50" spans="1:63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5"/>
      <c r="N50" s="5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5"/>
      <c r="BJ50" s="5"/>
      <c r="BK50" s="4"/>
    </row>
    <row r="51" spans="1:63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5"/>
      <c r="N51" s="5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5"/>
      <c r="BJ51" s="5"/>
      <c r="BK51" s="4"/>
    </row>
    <row r="52" spans="1:63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5"/>
      <c r="N52" s="5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5"/>
      <c r="BJ52" s="5"/>
      <c r="BK52" s="4"/>
    </row>
    <row r="53" spans="1:63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5"/>
      <c r="N53" s="5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5"/>
      <c r="BJ53" s="5"/>
      <c r="BK53" s="4"/>
    </row>
    <row r="54" spans="1:63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5"/>
      <c r="N54" s="5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5"/>
      <c r="BJ54" s="5"/>
      <c r="BK54" s="4"/>
    </row>
    <row r="55" spans="1:63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5"/>
      <c r="N55" s="5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5"/>
      <c r="BJ55" s="5"/>
      <c r="BK55" s="4"/>
    </row>
    <row r="56" spans="1:63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5"/>
      <c r="N56" s="5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5"/>
      <c r="BJ56" s="5"/>
      <c r="BK56" s="4"/>
    </row>
    <row r="57" spans="1:63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5"/>
      <c r="N57" s="5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5"/>
      <c r="BJ57" s="5"/>
      <c r="BK57" s="4"/>
    </row>
    <row r="58" spans="1:63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5"/>
      <c r="BJ58" s="5"/>
      <c r="BK58" s="4"/>
    </row>
    <row r="59" spans="1:63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5"/>
      <c r="N59" s="5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5"/>
      <c r="BJ59" s="5"/>
      <c r="BK59" s="4"/>
    </row>
    <row r="60" spans="1:63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5"/>
      <c r="N60" s="5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5"/>
      <c r="BJ60" s="5"/>
      <c r="BK60" s="4"/>
    </row>
    <row r="61" spans="1:63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5"/>
      <c r="N61" s="5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5"/>
      <c r="BJ61" s="5"/>
      <c r="BK61" s="4"/>
    </row>
    <row r="62" spans="1:63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5"/>
      <c r="N62" s="5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5"/>
      <c r="BJ62" s="5"/>
      <c r="BK62" s="4"/>
    </row>
    <row r="63" spans="1:63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5"/>
      <c r="N63" s="5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5"/>
      <c r="BJ63" s="5"/>
      <c r="BK63" s="4"/>
    </row>
    <row r="64" spans="1:63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5"/>
      <c r="N64" s="5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5"/>
      <c r="BJ64" s="5"/>
      <c r="BK64" s="4"/>
    </row>
    <row r="65" spans="1:63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5"/>
      <c r="N65" s="5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5"/>
      <c r="BJ65" s="5"/>
      <c r="BK65" s="4"/>
    </row>
    <row r="66" spans="1:63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5"/>
      <c r="N66" s="5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5"/>
      <c r="BJ66" s="5"/>
      <c r="BK66" s="4"/>
    </row>
    <row r="67" spans="1:63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5"/>
      <c r="N67" s="5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5"/>
      <c r="BJ67" s="5"/>
      <c r="BK67" s="4"/>
    </row>
    <row r="68" spans="1:63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5"/>
      <c r="N68" s="5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5"/>
      <c r="BJ68" s="5"/>
      <c r="BK68" s="4"/>
    </row>
    <row r="69" spans="1:63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5"/>
      <c r="N69" s="5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5"/>
      <c r="BJ69" s="5"/>
      <c r="BK69" s="4"/>
    </row>
    <row r="70" spans="1:63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5"/>
      <c r="N70" s="5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5"/>
      <c r="BJ70" s="5"/>
      <c r="BK70" s="4"/>
    </row>
    <row r="71" spans="1:63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5"/>
      <c r="N71" s="5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5"/>
      <c r="BJ71" s="5"/>
      <c r="BK71" s="4"/>
    </row>
    <row r="72" spans="1:63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5"/>
      <c r="N72" s="5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5"/>
      <c r="BJ72" s="5"/>
      <c r="BK72" s="4"/>
    </row>
    <row r="73" spans="1:63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5"/>
      <c r="N73" s="5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5"/>
      <c r="BJ73" s="5"/>
      <c r="BK73" s="4"/>
    </row>
    <row r="74" spans="1:63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5"/>
      <c r="N74" s="5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5"/>
      <c r="BJ74" s="5"/>
      <c r="BK74" s="4"/>
    </row>
    <row r="75" spans="1:63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5"/>
      <c r="N75" s="5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5"/>
      <c r="BJ75" s="5"/>
      <c r="BK75" s="4"/>
    </row>
    <row r="76" spans="1:63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5"/>
      <c r="N76" s="5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5"/>
      <c r="BJ76" s="5"/>
      <c r="BK76" s="4"/>
    </row>
    <row r="77" spans="1:63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5"/>
      <c r="N77" s="5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5"/>
      <c r="BJ77" s="5"/>
      <c r="BK77" s="4"/>
    </row>
    <row r="78" spans="1:63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5"/>
      <c r="N78" s="5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5"/>
      <c r="BJ78" s="5"/>
      <c r="BK78" s="4"/>
    </row>
    <row r="79" spans="1:63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5"/>
      <c r="N79" s="5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5"/>
      <c r="BJ79" s="5"/>
      <c r="BK79" s="4"/>
    </row>
    <row r="80" spans="1:63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5"/>
      <c r="N80" s="5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5"/>
      <c r="BJ80" s="5"/>
      <c r="BK80" s="4"/>
    </row>
    <row r="81" spans="1:63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5"/>
      <c r="N81" s="5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5"/>
      <c r="BJ81" s="5"/>
      <c r="BK81" s="4"/>
    </row>
    <row r="82" spans="1:63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5"/>
      <c r="N82" s="5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5"/>
      <c r="BJ82" s="5"/>
      <c r="BK82" s="4"/>
    </row>
    <row r="83" spans="1:63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5"/>
      <c r="N83" s="5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5"/>
      <c r="BJ83" s="5"/>
      <c r="BK83" s="4"/>
    </row>
    <row r="84" spans="1:63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5"/>
      <c r="N84" s="5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5"/>
      <c r="BJ84" s="5"/>
      <c r="BK84" s="4"/>
    </row>
    <row r="85" spans="1:63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5"/>
      <c r="N85" s="5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5"/>
      <c r="BJ85" s="5"/>
      <c r="BK85" s="4"/>
    </row>
    <row r="86" spans="1:63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5"/>
      <c r="N86" s="5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5"/>
      <c r="BJ86" s="5"/>
      <c r="BK86" s="4"/>
    </row>
    <row r="87" spans="1:63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5"/>
      <c r="N87" s="5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5"/>
      <c r="BJ87" s="5"/>
      <c r="BK87" s="4"/>
    </row>
    <row r="88" spans="1:63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5"/>
      <c r="N88" s="5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5"/>
      <c r="BJ88" s="5"/>
      <c r="BK88" s="4"/>
    </row>
    <row r="89" spans="1:63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5"/>
      <c r="N89" s="5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5"/>
      <c r="BJ89" s="5"/>
      <c r="BK89" s="4"/>
    </row>
    <row r="90" spans="1:63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5"/>
      <c r="N90" s="5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5"/>
      <c r="BJ90" s="5"/>
      <c r="BK90" s="4"/>
    </row>
    <row r="91" spans="1:63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5"/>
      <c r="N91" s="5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5"/>
      <c r="BJ91" s="5"/>
      <c r="BK91" s="4"/>
    </row>
    <row r="92" spans="1:63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5"/>
      <c r="N92" s="5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5"/>
      <c r="BJ92" s="5"/>
      <c r="BK92" s="4"/>
    </row>
    <row r="93" spans="1:63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5"/>
      <c r="N93" s="5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5"/>
      <c r="BJ93" s="5"/>
      <c r="BK93" s="4"/>
    </row>
    <row r="94" spans="1:63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5"/>
      <c r="N94" s="5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5"/>
      <c r="BJ94" s="5"/>
      <c r="BK94" s="4"/>
    </row>
    <row r="95" spans="1:63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5"/>
      <c r="N95" s="5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5"/>
      <c r="BJ95" s="5"/>
      <c r="BK95" s="4"/>
    </row>
    <row r="96" spans="1:63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5"/>
      <c r="N96" s="5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5"/>
      <c r="BJ96" s="5"/>
      <c r="BK96" s="4"/>
    </row>
    <row r="97" spans="1:63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5"/>
      <c r="N97" s="5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5"/>
      <c r="BJ97" s="5"/>
      <c r="BK97" s="4"/>
    </row>
    <row r="98" spans="1:63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5"/>
      <c r="N98" s="5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5"/>
      <c r="BJ98" s="5"/>
      <c r="BK98" s="4"/>
    </row>
    <row r="99" spans="1:63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5"/>
      <c r="N99" s="5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5"/>
      <c r="BJ99" s="5"/>
      <c r="BK99" s="4"/>
    </row>
    <row r="100" spans="1:63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5"/>
      <c r="N100" s="5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5"/>
      <c r="BJ100" s="5"/>
      <c r="BK100" s="4"/>
    </row>
    <row r="101" spans="1:63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5"/>
      <c r="N101" s="5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5"/>
      <c r="BJ101" s="5"/>
      <c r="BK101" s="4"/>
    </row>
    <row r="102" spans="1:63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5"/>
      <c r="N102" s="5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5"/>
      <c r="BJ102" s="5"/>
      <c r="BK102" s="4"/>
    </row>
    <row r="103" spans="1:63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5"/>
      <c r="N103" s="5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5"/>
      <c r="BJ103" s="5"/>
      <c r="BK103" s="4"/>
    </row>
    <row r="104" spans="1:63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5"/>
      <c r="N104" s="5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5"/>
      <c r="BJ104" s="5"/>
      <c r="BK104" s="4"/>
    </row>
    <row r="105" spans="1:63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5"/>
      <c r="N105" s="5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5"/>
      <c r="BJ105" s="5"/>
      <c r="BK105" s="4"/>
    </row>
    <row r="106" spans="1:63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5"/>
      <c r="N106" s="5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5"/>
      <c r="BJ106" s="5"/>
      <c r="BK106" s="4"/>
    </row>
    <row r="107" spans="1:63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5"/>
      <c r="N107" s="5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5"/>
      <c r="BJ107" s="5"/>
      <c r="BK107" s="4"/>
    </row>
    <row r="108" spans="1:63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5"/>
      <c r="N108" s="5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5"/>
      <c r="BJ108" s="5"/>
      <c r="BK108" s="4"/>
    </row>
    <row r="109" spans="1:63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5"/>
      <c r="N109" s="5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5"/>
      <c r="BJ109" s="5"/>
      <c r="BK109" s="4"/>
    </row>
    <row r="110" spans="1:63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5"/>
      <c r="N110" s="5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5"/>
      <c r="BJ110" s="5"/>
      <c r="BK110" s="4"/>
    </row>
    <row r="111" spans="1:63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5"/>
      <c r="N111" s="5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5"/>
      <c r="BJ111" s="5"/>
      <c r="BK111" s="4"/>
    </row>
    <row r="112" spans="1:63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5"/>
      <c r="N112" s="5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5"/>
      <c r="BJ112" s="5"/>
      <c r="BK112" s="4"/>
    </row>
    <row r="113" spans="1:63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5"/>
      <c r="N113" s="5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5"/>
      <c r="BJ113" s="5"/>
      <c r="BK113" s="4"/>
    </row>
    <row r="114" spans="1:63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5"/>
      <c r="N114" s="5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5"/>
      <c r="BJ114" s="5"/>
      <c r="BK114" s="4"/>
    </row>
    <row r="115" spans="1:63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5"/>
      <c r="N115" s="5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5"/>
      <c r="BJ115" s="5"/>
      <c r="BK115" s="4"/>
    </row>
    <row r="116" spans="1:63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5"/>
      <c r="N116" s="5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5"/>
      <c r="BJ116" s="5"/>
      <c r="BK116" s="4"/>
    </row>
    <row r="117" spans="1:63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5"/>
      <c r="N117" s="5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5"/>
      <c r="BJ117" s="5"/>
      <c r="BK117" s="4"/>
    </row>
    <row r="118" spans="1:63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5"/>
      <c r="N118" s="5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5"/>
      <c r="BJ118" s="5"/>
      <c r="BK118" s="4"/>
    </row>
    <row r="119" spans="1:63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5"/>
      <c r="N119" s="5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5"/>
      <c r="BJ119" s="5"/>
      <c r="BK119" s="4"/>
    </row>
    <row r="120" spans="1:63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5"/>
      <c r="N120" s="5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5"/>
      <c r="BJ120" s="5"/>
      <c r="BK120" s="4"/>
    </row>
    <row r="121" spans="1:63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5"/>
      <c r="N121" s="5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5"/>
      <c r="BJ121" s="5"/>
      <c r="BK121" s="4"/>
    </row>
    <row r="122" spans="1:63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5"/>
      <c r="N122" s="5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5"/>
      <c r="BJ122" s="5"/>
      <c r="BK122" s="4"/>
    </row>
    <row r="123" spans="1:63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5"/>
      <c r="N123" s="5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5"/>
      <c r="BJ123" s="5"/>
      <c r="BK123" s="4"/>
    </row>
    <row r="124" spans="1:63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5"/>
      <c r="N124" s="5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5"/>
      <c r="BJ124" s="5"/>
      <c r="BK124" s="4"/>
    </row>
    <row r="125" spans="1:63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5"/>
      <c r="N125" s="5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5"/>
      <c r="BJ125" s="5"/>
      <c r="BK125" s="4"/>
    </row>
    <row r="126" spans="1:63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5"/>
      <c r="N126" s="5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5"/>
      <c r="BJ126" s="5"/>
      <c r="BK126" s="4"/>
    </row>
    <row r="127" spans="1:63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5"/>
      <c r="N127" s="5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5"/>
      <c r="BJ127" s="5"/>
      <c r="BK127" s="4"/>
    </row>
    <row r="128" spans="1:63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5"/>
      <c r="N128" s="5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5"/>
      <c r="BJ128" s="5"/>
      <c r="BK128" s="4"/>
    </row>
    <row r="129" spans="1:63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5"/>
      <c r="N129" s="5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5"/>
      <c r="BJ129" s="5"/>
      <c r="BK129" s="4"/>
    </row>
    <row r="130" spans="1:63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5"/>
      <c r="N130" s="5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5"/>
      <c r="BJ130" s="5"/>
      <c r="BK130" s="4"/>
    </row>
    <row r="131" spans="1:63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5"/>
      <c r="N131" s="5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5"/>
      <c r="BJ131" s="5"/>
      <c r="BK131" s="4"/>
    </row>
    <row r="132" spans="1:63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5"/>
      <c r="N132" s="5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5"/>
      <c r="BJ132" s="5"/>
      <c r="BK132" s="4"/>
    </row>
    <row r="133" spans="1:63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5"/>
      <c r="N133" s="5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5"/>
      <c r="BJ133" s="5"/>
      <c r="BK133" s="4"/>
    </row>
    <row r="134" spans="1:63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5"/>
      <c r="N134" s="5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5"/>
      <c r="BJ134" s="5"/>
      <c r="BK134" s="4"/>
    </row>
    <row r="135" spans="1:63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5"/>
      <c r="N135" s="5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5"/>
      <c r="BJ135" s="5"/>
      <c r="BK135" s="4"/>
    </row>
    <row r="136" spans="1:63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5"/>
      <c r="N136" s="5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5"/>
      <c r="BJ136" s="5"/>
      <c r="BK136" s="4"/>
    </row>
    <row r="137" spans="1:63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5"/>
      <c r="N137" s="5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5"/>
      <c r="BJ137" s="5"/>
      <c r="BK137" s="4"/>
    </row>
    <row r="138" spans="1:63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5"/>
      <c r="N138" s="5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5"/>
      <c r="BJ138" s="5"/>
      <c r="BK138" s="4"/>
    </row>
    <row r="139" spans="1:63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5"/>
      <c r="N139" s="5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5"/>
      <c r="BJ139" s="5"/>
      <c r="BK139" s="4"/>
    </row>
    <row r="140" spans="1:63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5"/>
      <c r="N140" s="5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5"/>
      <c r="BJ140" s="5"/>
      <c r="BK140" s="4"/>
    </row>
    <row r="141" spans="1:63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5"/>
      <c r="N141" s="5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5"/>
      <c r="BJ141" s="5"/>
      <c r="BK141" s="4"/>
    </row>
    <row r="142" spans="1:63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5"/>
      <c r="N142" s="5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5"/>
      <c r="BJ142" s="5"/>
      <c r="BK142" s="4"/>
    </row>
    <row r="143" spans="1:63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5"/>
      <c r="N143" s="5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5"/>
      <c r="BJ143" s="5"/>
      <c r="BK143" s="4"/>
    </row>
    <row r="144" spans="1:63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5"/>
      <c r="N144" s="5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5"/>
      <c r="BJ144" s="5"/>
      <c r="BK144" s="4"/>
    </row>
    <row r="145" spans="1:63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5"/>
      <c r="N145" s="5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5"/>
      <c r="BJ145" s="5"/>
      <c r="BK145" s="4"/>
    </row>
    <row r="146" spans="1:63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5"/>
      <c r="N146" s="5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5"/>
      <c r="BJ146" s="5"/>
      <c r="BK146" s="4"/>
    </row>
    <row r="147" spans="1:63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5"/>
      <c r="N147" s="5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5"/>
      <c r="BJ147" s="5"/>
      <c r="BK147" s="4"/>
    </row>
    <row r="148" spans="1:63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5"/>
      <c r="N148" s="5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5"/>
      <c r="BJ148" s="5"/>
      <c r="BK148" s="4"/>
    </row>
    <row r="149" spans="1:63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5"/>
      <c r="N149" s="5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5"/>
      <c r="BJ149" s="5"/>
      <c r="BK149" s="4"/>
    </row>
    <row r="150" spans="1:63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5"/>
      <c r="N150" s="5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5"/>
      <c r="BJ150" s="5"/>
      <c r="BK150" s="4"/>
    </row>
    <row r="151" spans="1:63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5"/>
      <c r="N151" s="5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5"/>
      <c r="BJ151" s="5"/>
      <c r="BK151" s="4"/>
    </row>
    <row r="152" spans="1:63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5"/>
      <c r="N152" s="5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5"/>
      <c r="BJ152" s="5"/>
      <c r="BK152" s="4"/>
    </row>
    <row r="153" spans="1:63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5"/>
      <c r="N153" s="5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5"/>
      <c r="BJ153" s="5"/>
      <c r="BK153" s="4"/>
    </row>
    <row r="154" spans="1:63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5"/>
      <c r="N154" s="5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5"/>
      <c r="BJ154" s="5"/>
      <c r="BK154" s="4"/>
    </row>
    <row r="155" spans="1:63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5"/>
      <c r="N155" s="5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5"/>
      <c r="BJ155" s="5"/>
      <c r="BK155" s="4"/>
    </row>
    <row r="156" spans="1:63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5"/>
      <c r="N156" s="5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5"/>
      <c r="BJ156" s="5"/>
      <c r="BK156" s="4"/>
    </row>
    <row r="157" spans="1:63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5"/>
      <c r="N157" s="5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5"/>
      <c r="BJ157" s="5"/>
      <c r="BK157" s="4"/>
    </row>
    <row r="158" spans="1:63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5"/>
      <c r="N158" s="5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5"/>
      <c r="BJ158" s="5"/>
      <c r="BK158" s="4"/>
    </row>
    <row r="159" spans="1:63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5"/>
      <c r="N159" s="5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5"/>
      <c r="BJ159" s="5"/>
      <c r="BK159" s="4"/>
    </row>
    <row r="160" spans="1:63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5"/>
      <c r="N160" s="5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5"/>
      <c r="BJ160" s="5"/>
      <c r="BK160" s="4"/>
    </row>
    <row r="161" spans="1:63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5"/>
      <c r="N161" s="5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5"/>
      <c r="BJ161" s="5"/>
      <c r="BK161" s="4"/>
    </row>
    <row r="162" spans="1:63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5"/>
      <c r="N162" s="5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5"/>
      <c r="BJ162" s="5"/>
      <c r="BK162" s="4"/>
    </row>
    <row r="163" spans="1:63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5"/>
      <c r="N163" s="5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5"/>
      <c r="BJ163" s="5"/>
      <c r="BK163" s="4"/>
    </row>
    <row r="164" spans="1:63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5"/>
      <c r="N164" s="5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5"/>
      <c r="BJ164" s="5"/>
      <c r="BK164" s="4"/>
    </row>
    <row r="165" spans="1:63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5"/>
      <c r="N165" s="5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5"/>
      <c r="BJ165" s="5"/>
      <c r="BK165" s="4"/>
    </row>
    <row r="166" spans="1:63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5"/>
      <c r="N166" s="5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5"/>
      <c r="BJ166" s="5"/>
      <c r="BK166" s="4"/>
    </row>
    <row r="167" spans="1:63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5"/>
      <c r="N167" s="5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5"/>
      <c r="BJ167" s="5"/>
      <c r="BK167" s="4"/>
    </row>
    <row r="168" spans="1:63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5"/>
      <c r="N168" s="5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5"/>
      <c r="BJ168" s="5"/>
      <c r="BK168" s="4"/>
    </row>
    <row r="169" spans="1:63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5"/>
      <c r="N169" s="5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5"/>
      <c r="BJ169" s="5"/>
      <c r="BK169" s="4"/>
    </row>
    <row r="170" spans="1:63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5"/>
      <c r="N170" s="5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5"/>
      <c r="BJ170" s="5"/>
      <c r="BK170" s="4"/>
    </row>
    <row r="171" spans="1:63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5"/>
      <c r="N171" s="5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5"/>
      <c r="BJ171" s="5"/>
      <c r="BK171" s="4"/>
    </row>
    <row r="172" spans="1:63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5"/>
      <c r="N172" s="5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5"/>
      <c r="BJ172" s="5"/>
      <c r="BK172" s="4"/>
    </row>
    <row r="173" spans="1:63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5"/>
      <c r="N173" s="5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5"/>
      <c r="BJ173" s="5"/>
      <c r="BK173" s="4"/>
    </row>
    <row r="174" spans="1:63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5"/>
      <c r="N174" s="5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5"/>
      <c r="BJ174" s="5"/>
      <c r="BK174" s="4"/>
    </row>
    <row r="175" spans="1:63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5"/>
      <c r="N175" s="5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5"/>
      <c r="BJ175" s="5"/>
      <c r="BK175" s="4"/>
    </row>
    <row r="176" spans="1:63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5"/>
      <c r="N176" s="5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5"/>
      <c r="BJ176" s="5"/>
      <c r="BK176" s="4"/>
    </row>
    <row r="177" spans="1:63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5"/>
      <c r="N177" s="5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5"/>
      <c r="BJ177" s="5"/>
      <c r="BK177" s="4"/>
    </row>
    <row r="178" spans="1:63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5"/>
      <c r="N178" s="5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5"/>
      <c r="BJ178" s="5"/>
      <c r="BK178" s="4"/>
    </row>
    <row r="179" spans="1:63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5"/>
      <c r="N179" s="5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5"/>
      <c r="BJ179" s="5"/>
      <c r="BK179" s="4"/>
    </row>
    <row r="180" spans="1:63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5"/>
      <c r="N180" s="5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5"/>
      <c r="BJ180" s="5"/>
      <c r="BK180" s="4"/>
    </row>
    <row r="181" spans="1:63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5"/>
      <c r="N181" s="5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5"/>
      <c r="BJ181" s="5"/>
      <c r="BK181" s="4"/>
    </row>
    <row r="182" spans="1:63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5"/>
      <c r="N182" s="5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5"/>
      <c r="BJ182" s="5"/>
      <c r="BK182" s="4"/>
    </row>
    <row r="183" spans="1:63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5"/>
      <c r="N183" s="5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5"/>
      <c r="BJ183" s="5"/>
      <c r="BK183" s="4"/>
    </row>
    <row r="184" spans="1:63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5"/>
      <c r="N184" s="5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5"/>
      <c r="BJ184" s="5"/>
      <c r="BK184" s="4"/>
    </row>
    <row r="185" spans="1:63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5"/>
      <c r="N185" s="5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5"/>
      <c r="BJ185" s="5"/>
      <c r="BK185" s="4"/>
    </row>
    <row r="186" spans="1:63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5"/>
      <c r="N186" s="5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5"/>
      <c r="BJ186" s="5"/>
      <c r="BK186" s="4"/>
    </row>
    <row r="187" spans="1:63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5"/>
      <c r="N187" s="5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5"/>
      <c r="BJ187" s="5"/>
      <c r="BK187" s="4"/>
    </row>
    <row r="188" spans="1:63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5"/>
      <c r="N188" s="5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5"/>
      <c r="BJ188" s="5"/>
      <c r="BK188" s="4"/>
    </row>
    <row r="189" spans="1:63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5"/>
      <c r="N189" s="5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5"/>
      <c r="BJ189" s="5"/>
      <c r="BK189" s="4"/>
    </row>
    <row r="190" spans="1:63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5"/>
      <c r="N190" s="5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5"/>
      <c r="BJ190" s="5"/>
      <c r="BK190" s="4"/>
    </row>
    <row r="191" spans="1:63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5"/>
      <c r="N191" s="5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5"/>
      <c r="BJ191" s="5"/>
      <c r="BK191" s="4"/>
    </row>
    <row r="192" spans="1:63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5"/>
      <c r="N192" s="5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5"/>
      <c r="BJ192" s="5"/>
      <c r="BK192" s="4"/>
    </row>
    <row r="193" spans="1:63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5"/>
      <c r="N193" s="5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5"/>
      <c r="BJ193" s="5"/>
      <c r="BK193" s="4"/>
    </row>
    <row r="194" spans="1:63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5"/>
      <c r="N194" s="5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5"/>
      <c r="BJ194" s="5"/>
      <c r="BK194" s="4"/>
    </row>
    <row r="195" spans="1:63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5"/>
      <c r="N195" s="5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5"/>
      <c r="BJ195" s="5"/>
      <c r="BK195" s="4"/>
    </row>
    <row r="196" spans="1:63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5"/>
      <c r="N196" s="5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5"/>
      <c r="BJ196" s="5"/>
      <c r="BK196" s="4"/>
    </row>
    <row r="197" spans="1:63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5"/>
      <c r="N197" s="5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5"/>
      <c r="BJ197" s="5"/>
      <c r="BK197" s="4"/>
    </row>
    <row r="198" spans="1:63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5"/>
      <c r="N198" s="5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5"/>
      <c r="BJ198" s="5"/>
      <c r="BK198" s="4"/>
    </row>
    <row r="199" spans="1:63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5"/>
      <c r="N199" s="5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5"/>
      <c r="BJ199" s="5"/>
      <c r="BK199" s="4"/>
    </row>
  </sheetData>
  <mergeCells count="29">
    <mergeCell ref="A1:BK1"/>
    <mergeCell ref="J2:AB2"/>
    <mergeCell ref="J3:O3"/>
    <mergeCell ref="R3:V3"/>
    <mergeCell ref="AE3:AM3"/>
    <mergeCell ref="AN3:AS3"/>
    <mergeCell ref="AT3:AV3"/>
    <mergeCell ref="AX3:AY3"/>
    <mergeCell ref="AZ3:BC3"/>
    <mergeCell ref="A2:A4"/>
    <mergeCell ref="D2:D4"/>
    <mergeCell ref="E2:E4"/>
    <mergeCell ref="F2:F4"/>
    <mergeCell ref="I2:I4"/>
    <mergeCell ref="W3:W4"/>
    <mergeCell ref="AD3:AD4"/>
    <mergeCell ref="BI2:BI4"/>
    <mergeCell ref="BJ2:BJ4"/>
    <mergeCell ref="BK2:BK4"/>
    <mergeCell ref="B2:C4"/>
    <mergeCell ref="G2:G4"/>
    <mergeCell ref="X3:X4"/>
    <mergeCell ref="Z3:Z4"/>
    <mergeCell ref="AA3:AA4"/>
    <mergeCell ref="AB3:AB4"/>
    <mergeCell ref="AC3:AC4"/>
    <mergeCell ref="BD3:BH3"/>
    <mergeCell ref="AE2:BH2"/>
    <mergeCell ref="H2:H4"/>
  </mergeCells>
  <phoneticPr fontId="1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2026年6月东方宝泰店营业额明细统计表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2023-05-12T11:15:00Z</dcterms:created>
  <dcterms:modified xsi:type="dcterms:W3CDTF">2026-06-17T06:52:52Z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158A9F13C1F0453F9C5741FD2019CA4B_12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