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8751272A-EA07-46E5-8618-20517DE1E79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G36" i="1" l="1"/>
  <c r="AE36" i="1"/>
  <c r="BC36" i="1"/>
  <c r="BD36" i="1"/>
  <c r="BE36" i="1"/>
  <c r="BF36" i="1"/>
  <c r="BG36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5" i="1"/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BI34" i="1" s="1"/>
  <c r="D34" i="1"/>
  <c r="A34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BI30" i="1" s="1"/>
  <c r="D30" i="1"/>
  <c r="A30" i="1"/>
  <c r="BA29" i="1"/>
  <c r="AU29" i="1"/>
  <c r="AQ29" i="1"/>
  <c r="R29" i="1"/>
  <c r="T29" i="1" s="1"/>
  <c r="K29" i="1"/>
  <c r="M29" i="1" s="1"/>
  <c r="BH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BH27" i="1" s="1"/>
  <c r="D27" i="1"/>
  <c r="A27" i="1"/>
  <c r="BA26" i="1"/>
  <c r="AU26" i="1"/>
  <c r="AQ26" i="1"/>
  <c r="R26" i="1"/>
  <c r="T26" i="1" s="1"/>
  <c r="K26" i="1"/>
  <c r="BI26" i="1" s="1"/>
  <c r="D26" i="1"/>
  <c r="A26" i="1"/>
  <c r="BA25" i="1"/>
  <c r="AU25" i="1"/>
  <c r="AQ25" i="1"/>
  <c r="R25" i="1"/>
  <c r="T25" i="1" s="1"/>
  <c r="K25" i="1"/>
  <c r="M25" i="1" s="1"/>
  <c r="BH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BI23" i="1" s="1"/>
  <c r="D23" i="1"/>
  <c r="A23" i="1"/>
  <c r="BA22" i="1"/>
  <c r="AU22" i="1"/>
  <c r="AQ22" i="1"/>
  <c r="R22" i="1"/>
  <c r="T22" i="1" s="1"/>
  <c r="K22" i="1"/>
  <c r="BI22" i="1" s="1"/>
  <c r="D22" i="1"/>
  <c r="A22" i="1"/>
  <c r="BA21" i="1"/>
  <c r="AU21" i="1"/>
  <c r="AQ21" i="1"/>
  <c r="R21" i="1"/>
  <c r="T21" i="1" s="1"/>
  <c r="K21" i="1"/>
  <c r="M21" i="1" s="1"/>
  <c r="BH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BH19" i="1" s="1"/>
  <c r="D19" i="1"/>
  <c r="A19" i="1"/>
  <c r="BA18" i="1"/>
  <c r="AU18" i="1"/>
  <c r="AQ18" i="1"/>
  <c r="R18" i="1"/>
  <c r="T18" i="1" s="1"/>
  <c r="K18" i="1"/>
  <c r="BI18" i="1" s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BI14" i="1" s="1"/>
  <c r="D14" i="1"/>
  <c r="A14" i="1"/>
  <c r="BA13" i="1"/>
  <c r="AU13" i="1"/>
  <c r="AQ13" i="1"/>
  <c r="R13" i="1"/>
  <c r="T13" i="1" s="1"/>
  <c r="K13" i="1"/>
  <c r="M13" i="1" s="1"/>
  <c r="BH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BH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BH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BI7" i="1" s="1"/>
  <c r="D7" i="1"/>
  <c r="A7" i="1"/>
  <c r="BA6" i="1"/>
  <c r="AU6" i="1"/>
  <c r="AQ6" i="1"/>
  <c r="R6" i="1"/>
  <c r="K6" i="1"/>
  <c r="BI6" i="1" s="1"/>
  <c r="D6" i="1"/>
  <c r="A6" i="1"/>
  <c r="BA5" i="1"/>
  <c r="AU5" i="1"/>
  <c r="AQ5" i="1"/>
  <c r="R5" i="1"/>
  <c r="T5" i="1" s="1"/>
  <c r="K5" i="1"/>
  <c r="M5" i="1" s="1"/>
  <c r="D5" i="1"/>
  <c r="A5" i="1"/>
  <c r="BH5" i="1" l="1"/>
  <c r="BH12" i="1"/>
  <c r="BH28" i="1"/>
  <c r="BH35" i="1"/>
  <c r="BI10" i="1"/>
  <c r="BH33" i="1"/>
  <c r="BH17" i="1"/>
  <c r="BH15" i="1"/>
  <c r="BH31" i="1"/>
  <c r="BI33" i="1"/>
  <c r="BI17" i="1"/>
  <c r="BI32" i="1"/>
  <c r="BI16" i="1"/>
  <c r="BI31" i="1"/>
  <c r="BI15" i="1"/>
  <c r="BI29" i="1"/>
  <c r="BI13" i="1"/>
  <c r="BI28" i="1"/>
  <c r="BI12" i="1"/>
  <c r="BI27" i="1"/>
  <c r="BI11" i="1"/>
  <c r="BI25" i="1"/>
  <c r="BI9" i="1"/>
  <c r="BI24" i="1"/>
  <c r="BI8" i="1"/>
  <c r="BI21" i="1"/>
  <c r="BI5" i="1"/>
  <c r="BI20" i="1"/>
  <c r="BI35" i="1"/>
  <c r="BI19" i="1"/>
  <c r="AQ36" i="1"/>
  <c r="T20" i="1"/>
  <c r="BH20" i="1" s="1"/>
  <c r="R36" i="1"/>
  <c r="AK36" i="1"/>
  <c r="T16" i="1"/>
  <c r="BH16" i="1" s="1"/>
  <c r="T32" i="1"/>
  <c r="BH32" i="1" s="1"/>
  <c r="BA36" i="1"/>
  <c r="T24" i="1"/>
  <c r="BH24" i="1" s="1"/>
  <c r="K36" i="1"/>
  <c r="M23" i="1"/>
  <c r="BH23" i="1" s="1"/>
  <c r="AU36" i="1"/>
  <c r="T8" i="1"/>
  <c r="BH8" i="1" s="1"/>
  <c r="D36" i="1"/>
  <c r="M30" i="1"/>
  <c r="BH30" i="1" s="1"/>
  <c r="M34" i="1"/>
  <c r="BH34" i="1" s="1"/>
  <c r="M22" i="1"/>
  <c r="BH22" i="1" s="1"/>
  <c r="M7" i="1"/>
  <c r="BH7" i="1" s="1"/>
  <c r="T6" i="1"/>
  <c r="M6" i="1"/>
  <c r="M10" i="1"/>
  <c r="BH10" i="1" s="1"/>
  <c r="M14" i="1"/>
  <c r="BH14" i="1" s="1"/>
  <c r="M18" i="1"/>
  <c r="BH18" i="1" s="1"/>
  <c r="M26" i="1"/>
  <c r="BH26" i="1" s="1"/>
  <c r="BH6" i="1" l="1"/>
  <c r="T36" i="1"/>
  <c r="BI36" i="1"/>
  <c r="M36" i="1"/>
  <c r="BH36" i="1"/>
</calcChain>
</file>

<file path=xl/sharedStrings.xml><?xml version="1.0" encoding="utf-8"?>
<sst xmlns="http://schemas.openxmlformats.org/spreadsheetml/2006/main" count="204" uniqueCount="114">
  <si>
    <t>序号</t>
  </si>
  <si>
    <t>日期</t>
  </si>
  <si>
    <t>现金</t>
  </si>
  <si>
    <t>现金充值</t>
  </si>
  <si>
    <t>现金合计</t>
  </si>
  <si>
    <t>银豹收银系统后台收入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</si>
  <si>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</si>
  <si>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</si>
  <si>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</si>
  <si>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</si>
  <si>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</si>
  <si>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</si>
  <si>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</si>
  <si>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</si>
  <si>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</si>
  <si>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</si>
  <si>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</si>
  <si>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</si>
  <si>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</si>
  <si>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</si>
  <si>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</si>
  <si>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</si>
  <si>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</si>
  <si>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</si>
  <si>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</si>
  <si>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</si>
  <si>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</si>
  <si>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</si>
  <si>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</si>
  <si>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</si>
  <si>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</si>
  <si>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</si>
  <si>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</si>
  <si>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</si>
  <si>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</si>
  <si>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</si>
  <si>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</si>
  <si>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</si>
  <si>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</si>
  <si>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</si>
  <si>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</si>
  <si>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</si>
  <si>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</si>
  <si>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</si>
  <si>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</si>
  <si>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</si>
  <si>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</si>
  <si>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</si>
  <si>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</si>
  <si>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</si>
  <si>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</si>
  <si>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</si>
  <si>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</si>
  <si>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</si>
  <si>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</si>
  <si>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</si>
  <si>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</si>
  <si>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</si>
  <si>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</si>
  <si>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</si>
  <si>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</si>
  <si>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</si>
  <si>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</si>
  <si>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</si>
  <si>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</si>
  <si>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</si>
  <si>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</si>
  <si>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</si>
  <si>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</si>
  <si>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</si>
  <si>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</si>
  <si>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</si>
  <si>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</si>
  <si>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</si>
  <si>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</si>
  <si>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</si>
  <si>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</si>
  <si>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</si>
  <si>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</si>
  <si>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</si>
  <si>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</si>
  <si>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</si>
  <si>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</si>
  <si>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</si>
  <si>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</si>
  <si>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</si>
  <si>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</si>
  <si>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</si>
  <si>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</si>
  <si>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</si>
  <si>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</si>
  <si>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</si>
  <si>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</si>
  <si>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</si>
  <si>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</si>
  <si>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</si>
  <si>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</si>
  <si>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</si>
  <si>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</si>
  <si>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</si>
  <si>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</si>
  <si>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</si>
  <si>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</si>
  <si>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</si>
  <si>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</si>
  <si>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</si>
  <si>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</si>
  <si>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</si>
  <si>
    <t>高德口碑外卖后台</t>
    <phoneticPr fontId="23" type="noConversion"/>
  </si>
  <si>
    <t>订单金额</t>
  </si>
  <si>
    <t>银行卡实收金额</t>
  </si>
  <si>
    <t>商家优惠</t>
    <phoneticPr fontId="23" type="noConversion"/>
  </si>
  <si>
    <t>服务费</t>
    <phoneticPr fontId="23" type="noConversion"/>
  </si>
  <si>
    <t>美团优惠、建设银行、招商优惠卷、抖音卷系统后台、高德口碑后台收入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</si>
</sst>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_);\(0.00\)"/>
  </numFmts>
  <fonts count="26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  <font>
      <b/>
      <sz val="12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17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6" fontId="17" fillId="10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 wrapText="1"/>
    </xf>
    <xf numFmtId="176" fontId="17" fillId="5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99"/>
  <sheetViews>
    <sheetView tabSelected="1" workbookViewId="0">
      <pane xSplit="3" ySplit="4" topLeftCell="D5" activePane="bottomRight" state="frozen"/>
      <selection pane="topRight"/>
      <selection pane="bottomLeft"/>
      <selection pane="bottomRight" sqref="A1:BJ1"/>
    </sheetView>
  </sheetViews>
  <sheetFormatPr defaultColWidth="10.33203125" defaultRowHeight="15.6" x14ac:dyDescent="0.25"/>
  <cols>
    <col min="1" max="1" width="4.88671875" style="17" customWidth="1"/>
    <col min="2" max="2" width="11.88671875" style="17" customWidth="1"/>
    <col min="3" max="4" width="10.33203125" style="17"/>
    <col min="5" max="5" width="9" style="17" customWidth="1"/>
    <col min="6" max="6" width="10.33203125" style="17"/>
    <col min="7" max="7" width="9.88671875" style="17" customWidth="1"/>
    <col min="8" max="8" width="12.5546875" style="17" hidden="1" customWidth="1"/>
    <col min="9" max="9" width="12.44140625" style="17" customWidth="1"/>
    <col min="10" max="10" width="9.88671875" style="17" customWidth="1"/>
    <col min="11" max="11" width="11.77734375" style="17" customWidth="1"/>
    <col min="12" max="12" width="10.3320312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10.33203125" style="17"/>
    <col min="24" max="24" width="17.6640625" style="17" hidden="1" customWidth="1"/>
    <col min="25" max="26" width="10.33203125" style="17"/>
    <col min="27" max="27" width="12.21875" style="17" hidden="1" customWidth="1"/>
    <col min="28" max="28" width="9" style="17" hidden="1" customWidth="1"/>
    <col min="29" max="32" width="10.33203125" style="17"/>
    <col min="33" max="33" width="13.6640625" style="17" customWidth="1"/>
    <col min="34" max="35" width="10.33203125" style="17"/>
    <col min="36" max="36" width="17.109375" style="17" customWidth="1"/>
    <col min="37" max="37" width="14" style="17" customWidth="1"/>
    <col min="38" max="38" width="16.33203125" style="17" hidden="1" customWidth="1"/>
    <col min="39" max="41" width="10.33203125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10.33203125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9" width="13.33203125" style="17" customWidth="1"/>
    <col min="60" max="60" width="12.21875" style="17" customWidth="1"/>
    <col min="61" max="61" width="12.44140625" style="17" customWidth="1"/>
    <col min="62" max="16384" width="10.33203125" style="17"/>
  </cols>
  <sheetData>
    <row r="1" spans="1:62" ht="26.25" customHeight="1" x14ac:dyDescent="0.25">
      <c r="A1" s="60" t="s">
        <v>86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</row>
    <row r="2" spans="1:62" ht="21" customHeight="1" x14ac:dyDescent="0.25">
      <c r="A2" s="52" t="s">
        <v>0</v>
      </c>
      <c r="B2" s="52" t="s">
        <v>1</v>
      </c>
      <c r="C2" s="52"/>
      <c r="D2" s="52" t="s">
        <v>2</v>
      </c>
      <c r="E2" s="52" t="s">
        <v>3</v>
      </c>
      <c r="F2" s="52" t="s">
        <v>4</v>
      </c>
      <c r="G2" s="55" t="s">
        <v>106</v>
      </c>
      <c r="H2" s="64" t="s">
        <v>87</v>
      </c>
      <c r="I2" s="61" t="s">
        <v>5</v>
      </c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25"/>
      <c r="AC2" s="25"/>
      <c r="AD2" s="69" t="s">
        <v>113</v>
      </c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0"/>
      <c r="AT2" s="70"/>
      <c r="AU2" s="70"/>
      <c r="AV2" s="70"/>
      <c r="AW2" s="70"/>
      <c r="AX2" s="70"/>
      <c r="AY2" s="70"/>
      <c r="AZ2" s="70"/>
      <c r="BA2" s="70"/>
      <c r="BB2" s="70"/>
      <c r="BC2" s="70"/>
      <c r="BD2" s="70"/>
      <c r="BE2" s="70"/>
      <c r="BF2" s="70"/>
      <c r="BG2" s="71"/>
      <c r="BH2" s="53" t="s">
        <v>6</v>
      </c>
      <c r="BI2" s="54" t="s">
        <v>7</v>
      </c>
      <c r="BJ2" s="52" t="s">
        <v>8</v>
      </c>
    </row>
    <row r="3" spans="1:62" s="18" customFormat="1" ht="15" customHeight="1" x14ac:dyDescent="0.25">
      <c r="A3" s="52"/>
      <c r="B3" s="52"/>
      <c r="C3" s="52"/>
      <c r="D3" s="52"/>
      <c r="E3" s="52"/>
      <c r="F3" s="52"/>
      <c r="G3" s="52"/>
      <c r="H3" s="64"/>
      <c r="I3" s="52" t="s">
        <v>9</v>
      </c>
      <c r="J3" s="52"/>
      <c r="K3" s="52"/>
      <c r="L3" s="52"/>
      <c r="M3" s="52"/>
      <c r="N3" s="52"/>
      <c r="O3" s="23"/>
      <c r="P3" s="23"/>
      <c r="Q3" s="52" t="s">
        <v>10</v>
      </c>
      <c r="R3" s="52"/>
      <c r="S3" s="52"/>
      <c r="T3" s="52"/>
      <c r="U3" s="52"/>
      <c r="V3" s="55" t="s">
        <v>11</v>
      </c>
      <c r="W3" s="55" t="s">
        <v>12</v>
      </c>
      <c r="X3" s="23" t="s">
        <v>88</v>
      </c>
      <c r="Y3" s="56" t="s">
        <v>13</v>
      </c>
      <c r="Z3" s="56" t="s">
        <v>14</v>
      </c>
      <c r="AA3" s="52" t="s">
        <v>15</v>
      </c>
      <c r="AB3" s="52" t="s">
        <v>16</v>
      </c>
      <c r="AC3" s="52" t="s">
        <v>17</v>
      </c>
      <c r="AD3" s="62" t="s">
        <v>18</v>
      </c>
      <c r="AE3" s="62"/>
      <c r="AF3" s="62"/>
      <c r="AG3" s="62"/>
      <c r="AH3" s="62"/>
      <c r="AI3" s="62"/>
      <c r="AJ3" s="62"/>
      <c r="AK3" s="62"/>
      <c r="AL3" s="62"/>
      <c r="AM3" s="62" t="s">
        <v>19</v>
      </c>
      <c r="AN3" s="62"/>
      <c r="AO3" s="62"/>
      <c r="AP3" s="62"/>
      <c r="AQ3" s="62"/>
      <c r="AR3" s="62"/>
      <c r="AS3" s="62" t="s">
        <v>20</v>
      </c>
      <c r="AT3" s="62"/>
      <c r="AU3" s="62"/>
      <c r="AV3" s="26"/>
      <c r="AW3" s="63" t="s">
        <v>21</v>
      </c>
      <c r="AX3" s="63"/>
      <c r="AY3" s="62" t="s">
        <v>89</v>
      </c>
      <c r="AZ3" s="62"/>
      <c r="BA3" s="62"/>
      <c r="BB3" s="62"/>
      <c r="BC3" s="57" t="s">
        <v>108</v>
      </c>
      <c r="BD3" s="58"/>
      <c r="BE3" s="58"/>
      <c r="BF3" s="58"/>
      <c r="BG3" s="59"/>
      <c r="BH3" s="53"/>
      <c r="BI3" s="54"/>
      <c r="BJ3" s="52"/>
    </row>
    <row r="4" spans="1:62" s="18" customFormat="1" ht="87" x14ac:dyDescent="0.25">
      <c r="A4" s="52"/>
      <c r="B4" s="52"/>
      <c r="C4" s="52"/>
      <c r="D4" s="52"/>
      <c r="E4" s="52"/>
      <c r="F4" s="52"/>
      <c r="G4" s="52"/>
      <c r="H4" s="64"/>
      <c r="I4" s="23" t="s">
        <v>22</v>
      </c>
      <c r="J4" s="23" t="s">
        <v>23</v>
      </c>
      <c r="K4" s="24" t="s">
        <v>24</v>
      </c>
      <c r="L4" s="27" t="s">
        <v>90</v>
      </c>
      <c r="M4" s="27" t="s">
        <v>91</v>
      </c>
      <c r="N4" s="28" t="s">
        <v>92</v>
      </c>
      <c r="O4" s="29" t="s">
        <v>25</v>
      </c>
      <c r="P4" s="29" t="s">
        <v>26</v>
      </c>
      <c r="Q4" s="29" t="s">
        <v>23</v>
      </c>
      <c r="R4" s="29" t="s">
        <v>27</v>
      </c>
      <c r="S4" s="30" t="s">
        <v>90</v>
      </c>
      <c r="T4" s="30" t="s">
        <v>93</v>
      </c>
      <c r="U4" s="31" t="s">
        <v>94</v>
      </c>
      <c r="V4" s="55"/>
      <c r="W4" s="55"/>
      <c r="X4" s="32" t="s">
        <v>95</v>
      </c>
      <c r="Y4" s="56"/>
      <c r="Z4" s="56"/>
      <c r="AA4" s="52"/>
      <c r="AB4" s="52"/>
      <c r="AC4" s="52"/>
      <c r="AD4" s="24" t="s">
        <v>107</v>
      </c>
      <c r="AE4" s="24" t="s">
        <v>28</v>
      </c>
      <c r="AF4" s="24" t="s">
        <v>29</v>
      </c>
      <c r="AG4" s="24" t="s">
        <v>30</v>
      </c>
      <c r="AH4" s="24" t="s">
        <v>31</v>
      </c>
      <c r="AI4" s="24" t="s">
        <v>32</v>
      </c>
      <c r="AJ4" s="24" t="s">
        <v>96</v>
      </c>
      <c r="AK4" s="33" t="s">
        <v>97</v>
      </c>
      <c r="AL4" s="34" t="s">
        <v>98</v>
      </c>
      <c r="AM4" s="24" t="s">
        <v>33</v>
      </c>
      <c r="AN4" s="24" t="s">
        <v>34</v>
      </c>
      <c r="AO4" s="24" t="s">
        <v>35</v>
      </c>
      <c r="AP4" s="24" t="s">
        <v>36</v>
      </c>
      <c r="AQ4" s="35" t="s">
        <v>99</v>
      </c>
      <c r="AR4" s="34" t="s">
        <v>100</v>
      </c>
      <c r="AS4" s="27" t="s">
        <v>37</v>
      </c>
      <c r="AT4" s="27" t="s">
        <v>38</v>
      </c>
      <c r="AU4" s="27" t="s">
        <v>39</v>
      </c>
      <c r="AV4" s="28" t="s">
        <v>40</v>
      </c>
      <c r="AW4" s="24" t="s">
        <v>101</v>
      </c>
      <c r="AX4" s="34" t="s">
        <v>102</v>
      </c>
      <c r="AY4" s="24" t="s">
        <v>41</v>
      </c>
      <c r="AZ4" s="24" t="s">
        <v>103</v>
      </c>
      <c r="BA4" s="35" t="s">
        <v>104</v>
      </c>
      <c r="BB4" s="34" t="s">
        <v>105</v>
      </c>
      <c r="BC4" s="51" t="s">
        <v>109</v>
      </c>
      <c r="BD4" s="51" t="s">
        <v>111</v>
      </c>
      <c r="BE4" s="51" t="s">
        <v>112</v>
      </c>
      <c r="BF4" s="51" t="s">
        <v>39</v>
      </c>
      <c r="BG4" s="34" t="s">
        <v>110</v>
      </c>
      <c r="BH4" s="53"/>
      <c r="BI4" s="54"/>
      <c r="BJ4" s="52"/>
    </row>
    <row r="5" spans="1:62" s="18" customFormat="1" ht="22.95" customHeight="1" x14ac:dyDescent="0.25">
      <c r="A5" s="23">
        <f t="shared" ref="A5:A36" si="0">ROW()-4</f>
        <v>1</v>
      </c>
      <c r="B5" s="19" t="s">
        <v>42</v>
      </c>
      <c r="C5" s="19" t="s">
        <v>43</v>
      </c>
      <c r="D5" s="42">
        <f>F5-E5</f>
        <v>0</v>
      </c>
      <c r="E5" s="39"/>
      <c r="F5" s="39"/>
      <c r="G5" s="39"/>
      <c r="H5" s="39"/>
      <c r="I5" s="39"/>
      <c r="J5" s="39"/>
      <c r="K5" s="42">
        <f>I5-J5</f>
        <v>0</v>
      </c>
      <c r="L5" s="39"/>
      <c r="M5" s="42">
        <f t="shared" ref="M5:M35" si="1">K5-L5</f>
        <v>0</v>
      </c>
      <c r="N5" s="39"/>
      <c r="O5" s="39"/>
      <c r="P5" s="39"/>
      <c r="Q5" s="39"/>
      <c r="R5" s="42">
        <f t="shared" ref="R5:R35" si="2">P5-Q5</f>
        <v>0</v>
      </c>
      <c r="S5" s="39"/>
      <c r="T5" s="42">
        <f t="shared" ref="T5:T35" si="3">R5-S5</f>
        <v>0</v>
      </c>
      <c r="U5" s="39"/>
      <c r="V5" s="39"/>
      <c r="W5" s="39"/>
      <c r="X5" s="39"/>
      <c r="Y5" s="39"/>
      <c r="Z5" s="39"/>
      <c r="AA5" s="39"/>
      <c r="AB5" s="39"/>
      <c r="AC5" s="39"/>
      <c r="AD5" s="43"/>
      <c r="AE5" s="43"/>
      <c r="AF5" s="39"/>
      <c r="AG5" s="39"/>
      <c r="AH5" s="39"/>
      <c r="AI5" s="39"/>
      <c r="AJ5" s="39"/>
      <c r="AK5" s="42">
        <f>AE5+AF5-AG5-AH5-AI5-AJ5</f>
        <v>0</v>
      </c>
      <c r="AL5" s="39"/>
      <c r="AM5" s="39"/>
      <c r="AN5" s="39"/>
      <c r="AO5" s="39"/>
      <c r="AP5" s="44"/>
      <c r="AQ5" s="42">
        <f t="shared" ref="AQ5:AQ26" si="4">AM5-AN5-AO5-AP5</f>
        <v>0</v>
      </c>
      <c r="AR5" s="39"/>
      <c r="AS5" s="39"/>
      <c r="AT5" s="39"/>
      <c r="AU5" s="42">
        <f t="shared" ref="AU5:AU35" si="5">AS5-AT5</f>
        <v>0</v>
      </c>
      <c r="AV5" s="39"/>
      <c r="AW5" s="39"/>
      <c r="AX5" s="39"/>
      <c r="AY5" s="44"/>
      <c r="AZ5" s="39"/>
      <c r="BA5" s="42">
        <f t="shared" ref="BA5:BA35" si="6">AY5-AZ5</f>
        <v>0</v>
      </c>
      <c r="BB5" s="39"/>
      <c r="BC5" s="39"/>
      <c r="BD5" s="39"/>
      <c r="BE5" s="39"/>
      <c r="BF5" s="42">
        <f>BC5-BD5-BE5</f>
        <v>0</v>
      </c>
      <c r="BG5" s="39"/>
      <c r="BH5" s="45">
        <f>G5+M5+T5+AK5+AQ5+AU5+AW5+BA5</f>
        <v>0</v>
      </c>
      <c r="BI5" s="46">
        <f>G5+K5+R5+AE5+AM5+AS5+AW5+AY5</f>
        <v>0</v>
      </c>
      <c r="BJ5" s="36"/>
    </row>
    <row r="6" spans="1:62" s="18" customFormat="1" ht="22.95" customHeight="1" x14ac:dyDescent="0.25">
      <c r="A6" s="23">
        <f t="shared" si="0"/>
        <v>2</v>
      </c>
      <c r="B6" s="19" t="s">
        <v>44</v>
      </c>
      <c r="C6" s="19" t="s">
        <v>45</v>
      </c>
      <c r="D6" s="42">
        <f t="shared" ref="D6:D35" si="7">F6-E6</f>
        <v>0</v>
      </c>
      <c r="E6" s="39"/>
      <c r="F6" s="39"/>
      <c r="G6" s="39"/>
      <c r="H6" s="39"/>
      <c r="I6" s="39"/>
      <c r="J6" s="39"/>
      <c r="K6" s="42">
        <f t="shared" ref="K6:K35" si="8">I6-J6</f>
        <v>0</v>
      </c>
      <c r="L6" s="39"/>
      <c r="M6" s="42">
        <f t="shared" si="1"/>
        <v>0</v>
      </c>
      <c r="N6" s="39"/>
      <c r="O6" s="39"/>
      <c r="P6" s="39"/>
      <c r="Q6" s="39"/>
      <c r="R6" s="42">
        <f t="shared" si="2"/>
        <v>0</v>
      </c>
      <c r="S6" s="39"/>
      <c r="T6" s="42">
        <f t="shared" si="3"/>
        <v>0</v>
      </c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42">
        <f t="shared" ref="AK6:AK35" si="9">AE6+AF6-AG6-AH6-AI6-AJ6</f>
        <v>0</v>
      </c>
      <c r="AL6" s="39"/>
      <c r="AM6" s="39"/>
      <c r="AN6" s="39"/>
      <c r="AO6" s="39"/>
      <c r="AP6" s="44"/>
      <c r="AQ6" s="42">
        <f t="shared" si="4"/>
        <v>0</v>
      </c>
      <c r="AR6" s="39"/>
      <c r="AS6" s="39"/>
      <c r="AT6" s="39"/>
      <c r="AU6" s="42">
        <f t="shared" si="5"/>
        <v>0</v>
      </c>
      <c r="AV6" s="39"/>
      <c r="AW6" s="39"/>
      <c r="AX6" s="39"/>
      <c r="AY6" s="44"/>
      <c r="AZ6" s="39"/>
      <c r="BA6" s="42">
        <f t="shared" si="6"/>
        <v>0</v>
      </c>
      <c r="BB6" s="39"/>
      <c r="BC6" s="39"/>
      <c r="BD6" s="39"/>
      <c r="BE6" s="39"/>
      <c r="BF6" s="42">
        <f t="shared" ref="BF6:BF35" si="10">BC6-BD6-BE6</f>
        <v>0</v>
      </c>
      <c r="BG6" s="39"/>
      <c r="BH6" s="45">
        <f t="shared" ref="BH6:BH35" si="11">G6+M6+T6+AK6+AQ6+AU6+AW6+BA6</f>
        <v>0</v>
      </c>
      <c r="BI6" s="46">
        <f t="shared" ref="BI6:BI35" si="12">G6+K6+R6+AE6+AM6+AS6+AW6+AY6</f>
        <v>0</v>
      </c>
      <c r="BJ6" s="36"/>
    </row>
    <row r="7" spans="1:62" s="18" customFormat="1" ht="22.95" customHeight="1" x14ac:dyDescent="0.25">
      <c r="A7" s="23">
        <f t="shared" si="0"/>
        <v>3</v>
      </c>
      <c r="B7" s="19" t="s">
        <v>46</v>
      </c>
      <c r="C7" s="19" t="s">
        <v>47</v>
      </c>
      <c r="D7" s="42">
        <f t="shared" si="7"/>
        <v>0</v>
      </c>
      <c r="E7" s="39"/>
      <c r="F7" s="39"/>
      <c r="G7" s="39"/>
      <c r="H7" s="39"/>
      <c r="I7" s="39"/>
      <c r="J7" s="39"/>
      <c r="K7" s="42">
        <f t="shared" si="8"/>
        <v>0</v>
      </c>
      <c r="L7" s="39"/>
      <c r="M7" s="42">
        <f t="shared" si="1"/>
        <v>0</v>
      </c>
      <c r="N7" s="39"/>
      <c r="O7" s="39"/>
      <c r="P7" s="39"/>
      <c r="Q7" s="39"/>
      <c r="R7" s="42">
        <f t="shared" si="2"/>
        <v>0</v>
      </c>
      <c r="S7" s="39"/>
      <c r="T7" s="42">
        <f t="shared" si="3"/>
        <v>0</v>
      </c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42">
        <f t="shared" si="9"/>
        <v>0</v>
      </c>
      <c r="AL7" s="39"/>
      <c r="AM7" s="39"/>
      <c r="AN7" s="44"/>
      <c r="AO7" s="44"/>
      <c r="AP7" s="44"/>
      <c r="AQ7" s="42">
        <f t="shared" si="4"/>
        <v>0</v>
      </c>
      <c r="AR7" s="39"/>
      <c r="AS7" s="39"/>
      <c r="AT7" s="39"/>
      <c r="AU7" s="42">
        <f t="shared" si="5"/>
        <v>0</v>
      </c>
      <c r="AV7" s="39"/>
      <c r="AW7" s="39"/>
      <c r="AX7" s="39"/>
      <c r="AY7" s="44"/>
      <c r="AZ7" s="39"/>
      <c r="BA7" s="42">
        <f t="shared" si="6"/>
        <v>0</v>
      </c>
      <c r="BB7" s="39"/>
      <c r="BC7" s="39"/>
      <c r="BD7" s="39"/>
      <c r="BE7" s="39"/>
      <c r="BF7" s="42">
        <f t="shared" si="10"/>
        <v>0</v>
      </c>
      <c r="BG7" s="39"/>
      <c r="BH7" s="45">
        <f t="shared" si="11"/>
        <v>0</v>
      </c>
      <c r="BI7" s="46">
        <f t="shared" si="12"/>
        <v>0</v>
      </c>
      <c r="BJ7" s="37"/>
    </row>
    <row r="8" spans="1:62" s="18" customFormat="1" ht="22.95" customHeight="1" x14ac:dyDescent="0.25">
      <c r="A8" s="23">
        <f t="shared" si="0"/>
        <v>4</v>
      </c>
      <c r="B8" s="19" t="s">
        <v>48</v>
      </c>
      <c r="C8" s="19" t="s">
        <v>49</v>
      </c>
      <c r="D8" s="42">
        <f t="shared" si="7"/>
        <v>0</v>
      </c>
      <c r="E8" s="39"/>
      <c r="F8" s="39"/>
      <c r="G8" s="39"/>
      <c r="H8" s="39"/>
      <c r="I8" s="39"/>
      <c r="J8" s="39"/>
      <c r="K8" s="42">
        <f t="shared" si="8"/>
        <v>0</v>
      </c>
      <c r="L8" s="39"/>
      <c r="M8" s="42">
        <f t="shared" si="1"/>
        <v>0</v>
      </c>
      <c r="N8" s="39"/>
      <c r="O8" s="39"/>
      <c r="P8" s="39"/>
      <c r="Q8" s="39"/>
      <c r="R8" s="42">
        <f t="shared" si="2"/>
        <v>0</v>
      </c>
      <c r="S8" s="39"/>
      <c r="T8" s="42">
        <f t="shared" si="3"/>
        <v>0</v>
      </c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42">
        <f t="shared" si="9"/>
        <v>0</v>
      </c>
      <c r="AL8" s="39"/>
      <c r="AM8" s="39"/>
      <c r="AN8" s="39"/>
      <c r="AO8" s="39"/>
      <c r="AP8" s="44"/>
      <c r="AQ8" s="42">
        <f t="shared" si="4"/>
        <v>0</v>
      </c>
      <c r="AR8" s="39"/>
      <c r="AS8" s="39"/>
      <c r="AT8" s="39"/>
      <c r="AU8" s="42">
        <f t="shared" si="5"/>
        <v>0</v>
      </c>
      <c r="AV8" s="39"/>
      <c r="AW8" s="39"/>
      <c r="AX8" s="39"/>
      <c r="AY8" s="44"/>
      <c r="AZ8" s="44"/>
      <c r="BA8" s="42">
        <f t="shared" si="6"/>
        <v>0</v>
      </c>
      <c r="BB8" s="39"/>
      <c r="BC8" s="39"/>
      <c r="BD8" s="39"/>
      <c r="BE8" s="39"/>
      <c r="BF8" s="42">
        <f t="shared" si="10"/>
        <v>0</v>
      </c>
      <c r="BG8" s="39"/>
      <c r="BH8" s="45">
        <f t="shared" si="11"/>
        <v>0</v>
      </c>
      <c r="BI8" s="46">
        <f t="shared" si="12"/>
        <v>0</v>
      </c>
      <c r="BJ8" s="38"/>
    </row>
    <row r="9" spans="1:62" s="18" customFormat="1" ht="22.95" customHeight="1" x14ac:dyDescent="0.25">
      <c r="A9" s="23">
        <f t="shared" si="0"/>
        <v>5</v>
      </c>
      <c r="B9" s="19" t="s">
        <v>50</v>
      </c>
      <c r="C9" s="19" t="s">
        <v>51</v>
      </c>
      <c r="D9" s="42">
        <f t="shared" si="7"/>
        <v>0</v>
      </c>
      <c r="E9" s="39"/>
      <c r="F9" s="39"/>
      <c r="G9" s="39"/>
      <c r="H9" s="39"/>
      <c r="I9" s="39"/>
      <c r="J9" s="39"/>
      <c r="K9" s="42">
        <f t="shared" si="8"/>
        <v>0</v>
      </c>
      <c r="L9" s="39"/>
      <c r="M9" s="42">
        <f t="shared" si="1"/>
        <v>0</v>
      </c>
      <c r="N9" s="39"/>
      <c r="O9" s="39"/>
      <c r="P9" s="39"/>
      <c r="Q9" s="39"/>
      <c r="R9" s="42">
        <f t="shared" si="2"/>
        <v>0</v>
      </c>
      <c r="S9" s="39"/>
      <c r="T9" s="42">
        <f t="shared" si="3"/>
        <v>0</v>
      </c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42">
        <f t="shared" si="9"/>
        <v>0</v>
      </c>
      <c r="AL9" s="39"/>
      <c r="AM9" s="39"/>
      <c r="AN9" s="39"/>
      <c r="AO9" s="39"/>
      <c r="AP9" s="39"/>
      <c r="AQ9" s="42">
        <f t="shared" si="4"/>
        <v>0</v>
      </c>
      <c r="AR9" s="39"/>
      <c r="AS9" s="39"/>
      <c r="AT9" s="39"/>
      <c r="AU9" s="42">
        <f t="shared" si="5"/>
        <v>0</v>
      </c>
      <c r="AV9" s="39"/>
      <c r="AW9" s="39"/>
      <c r="AX9" s="39"/>
      <c r="AY9" s="44"/>
      <c r="AZ9" s="44"/>
      <c r="BA9" s="42">
        <f t="shared" si="6"/>
        <v>0</v>
      </c>
      <c r="BB9" s="39"/>
      <c r="BC9" s="39"/>
      <c r="BD9" s="39"/>
      <c r="BE9" s="39"/>
      <c r="BF9" s="42">
        <f t="shared" si="10"/>
        <v>0</v>
      </c>
      <c r="BG9" s="39"/>
      <c r="BH9" s="45">
        <f t="shared" si="11"/>
        <v>0</v>
      </c>
      <c r="BI9" s="46">
        <f t="shared" si="12"/>
        <v>0</v>
      </c>
      <c r="BJ9" s="36"/>
    </row>
    <row r="10" spans="1:62" s="18" customFormat="1" ht="22.95" customHeight="1" x14ac:dyDescent="0.25">
      <c r="A10" s="23">
        <f t="shared" si="0"/>
        <v>6</v>
      </c>
      <c r="B10" s="19" t="s">
        <v>52</v>
      </c>
      <c r="C10" s="19" t="s">
        <v>53</v>
      </c>
      <c r="D10" s="42">
        <f t="shared" si="7"/>
        <v>0</v>
      </c>
      <c r="E10" s="39"/>
      <c r="F10" s="39"/>
      <c r="G10" s="39"/>
      <c r="H10" s="39"/>
      <c r="I10" s="68"/>
      <c r="J10" s="39"/>
      <c r="K10" s="42">
        <f t="shared" si="8"/>
        <v>0</v>
      </c>
      <c r="L10" s="39"/>
      <c r="M10" s="42">
        <f t="shared" si="1"/>
        <v>0</v>
      </c>
      <c r="N10" s="39"/>
      <c r="O10" s="39"/>
      <c r="P10" s="39"/>
      <c r="Q10" s="39"/>
      <c r="R10" s="42">
        <f t="shared" si="2"/>
        <v>0</v>
      </c>
      <c r="S10" s="39"/>
      <c r="T10" s="42">
        <f t="shared" si="3"/>
        <v>0</v>
      </c>
      <c r="U10" s="47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42">
        <f t="shared" si="9"/>
        <v>0</v>
      </c>
      <c r="AL10" s="39"/>
      <c r="AM10" s="39"/>
      <c r="AN10" s="39"/>
      <c r="AO10" s="39"/>
      <c r="AP10" s="39"/>
      <c r="AQ10" s="42">
        <f t="shared" si="4"/>
        <v>0</v>
      </c>
      <c r="AR10" s="39"/>
      <c r="AS10" s="39"/>
      <c r="AT10" s="39"/>
      <c r="AU10" s="42">
        <f t="shared" si="5"/>
        <v>0</v>
      </c>
      <c r="AV10" s="39"/>
      <c r="AW10" s="39"/>
      <c r="AX10" s="39"/>
      <c r="AY10" s="44"/>
      <c r="AZ10" s="39"/>
      <c r="BA10" s="42">
        <f t="shared" si="6"/>
        <v>0</v>
      </c>
      <c r="BB10" s="39"/>
      <c r="BC10" s="39"/>
      <c r="BD10" s="39"/>
      <c r="BE10" s="39"/>
      <c r="BF10" s="42">
        <f t="shared" si="10"/>
        <v>0</v>
      </c>
      <c r="BG10" s="39"/>
      <c r="BH10" s="45">
        <f t="shared" si="11"/>
        <v>0</v>
      </c>
      <c r="BI10" s="46">
        <f t="shared" si="12"/>
        <v>0</v>
      </c>
      <c r="BJ10" s="36"/>
    </row>
    <row r="11" spans="1:62" s="18" customFormat="1" ht="22.95" customHeight="1" x14ac:dyDescent="0.25">
      <c r="A11" s="23">
        <f t="shared" si="0"/>
        <v>7</v>
      </c>
      <c r="B11" s="19" t="s">
        <v>54</v>
      </c>
      <c r="C11" s="19" t="s">
        <v>55</v>
      </c>
      <c r="D11" s="42">
        <f t="shared" si="7"/>
        <v>0</v>
      </c>
      <c r="E11" s="39"/>
      <c r="F11" s="39"/>
      <c r="G11" s="39"/>
      <c r="H11" s="39"/>
      <c r="I11" s="39"/>
      <c r="J11" s="39"/>
      <c r="K11" s="42">
        <f t="shared" si="8"/>
        <v>0</v>
      </c>
      <c r="L11" s="39"/>
      <c r="M11" s="42">
        <f t="shared" si="1"/>
        <v>0</v>
      </c>
      <c r="N11" s="39"/>
      <c r="O11" s="39"/>
      <c r="P11" s="39"/>
      <c r="Q11" s="39"/>
      <c r="R11" s="42">
        <f t="shared" si="2"/>
        <v>0</v>
      </c>
      <c r="S11" s="39"/>
      <c r="T11" s="42">
        <f t="shared" si="3"/>
        <v>0</v>
      </c>
      <c r="U11" s="47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42">
        <f t="shared" si="9"/>
        <v>0</v>
      </c>
      <c r="AL11" s="39"/>
      <c r="AM11" s="39"/>
      <c r="AN11" s="39"/>
      <c r="AO11" s="39"/>
      <c r="AP11" s="44"/>
      <c r="AQ11" s="42">
        <f t="shared" si="4"/>
        <v>0</v>
      </c>
      <c r="AR11" s="39"/>
      <c r="AS11" s="39"/>
      <c r="AT11" s="39"/>
      <c r="AU11" s="42">
        <f t="shared" si="5"/>
        <v>0</v>
      </c>
      <c r="AV11" s="39"/>
      <c r="AW11" s="39"/>
      <c r="AX11" s="39"/>
      <c r="AY11" s="44"/>
      <c r="AZ11" s="39"/>
      <c r="BA11" s="42">
        <f t="shared" si="6"/>
        <v>0</v>
      </c>
      <c r="BB11" s="39"/>
      <c r="BC11" s="39"/>
      <c r="BD11" s="39"/>
      <c r="BE11" s="39"/>
      <c r="BF11" s="42">
        <f t="shared" si="10"/>
        <v>0</v>
      </c>
      <c r="BG11" s="39"/>
      <c r="BH11" s="45">
        <f t="shared" si="11"/>
        <v>0</v>
      </c>
      <c r="BI11" s="46">
        <f t="shared" si="12"/>
        <v>0</v>
      </c>
      <c r="BJ11" s="36"/>
    </row>
    <row r="12" spans="1:62" s="18" customFormat="1" ht="22.95" customHeight="1" x14ac:dyDescent="0.25">
      <c r="A12" s="23">
        <f t="shared" si="0"/>
        <v>8</v>
      </c>
      <c r="B12" s="19" t="s">
        <v>56</v>
      </c>
      <c r="C12" s="19" t="s">
        <v>43</v>
      </c>
      <c r="D12" s="42">
        <f t="shared" si="7"/>
        <v>0</v>
      </c>
      <c r="E12" s="39"/>
      <c r="F12" s="39"/>
      <c r="G12" s="39"/>
      <c r="H12" s="39"/>
      <c r="I12" s="39"/>
      <c r="J12" s="39"/>
      <c r="K12" s="42">
        <f t="shared" si="8"/>
        <v>0</v>
      </c>
      <c r="L12" s="39"/>
      <c r="M12" s="42">
        <f t="shared" si="1"/>
        <v>0</v>
      </c>
      <c r="N12" s="39"/>
      <c r="O12" s="39"/>
      <c r="P12" s="39"/>
      <c r="Q12" s="39"/>
      <c r="R12" s="42">
        <f t="shared" si="2"/>
        <v>0</v>
      </c>
      <c r="S12" s="39"/>
      <c r="T12" s="42">
        <f t="shared" si="3"/>
        <v>0</v>
      </c>
      <c r="U12" s="47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42">
        <f t="shared" si="9"/>
        <v>0</v>
      </c>
      <c r="AL12" s="39"/>
      <c r="AM12" s="39"/>
      <c r="AN12" s="39"/>
      <c r="AO12" s="39"/>
      <c r="AP12" s="39"/>
      <c r="AQ12" s="42">
        <f t="shared" si="4"/>
        <v>0</v>
      </c>
      <c r="AR12" s="39"/>
      <c r="AS12" s="39"/>
      <c r="AT12" s="39"/>
      <c r="AU12" s="42">
        <f t="shared" si="5"/>
        <v>0</v>
      </c>
      <c r="AV12" s="39"/>
      <c r="AW12" s="39"/>
      <c r="AX12" s="39"/>
      <c r="AY12" s="44"/>
      <c r="AZ12" s="39"/>
      <c r="BA12" s="42">
        <f t="shared" si="6"/>
        <v>0</v>
      </c>
      <c r="BB12" s="39"/>
      <c r="BC12" s="39"/>
      <c r="BD12" s="39"/>
      <c r="BE12" s="39"/>
      <c r="BF12" s="42">
        <f t="shared" si="10"/>
        <v>0</v>
      </c>
      <c r="BG12" s="39"/>
      <c r="BH12" s="45">
        <f t="shared" si="11"/>
        <v>0</v>
      </c>
      <c r="BI12" s="46">
        <f t="shared" si="12"/>
        <v>0</v>
      </c>
      <c r="BJ12" s="36"/>
    </row>
    <row r="13" spans="1:62" s="18" customFormat="1" ht="22.95" customHeight="1" x14ac:dyDescent="0.25">
      <c r="A13" s="23">
        <f t="shared" si="0"/>
        <v>9</v>
      </c>
      <c r="B13" s="19" t="s">
        <v>57</v>
      </c>
      <c r="C13" s="19" t="s">
        <v>45</v>
      </c>
      <c r="D13" s="42">
        <f t="shared" si="7"/>
        <v>0</v>
      </c>
      <c r="E13" s="39"/>
      <c r="F13" s="39"/>
      <c r="G13" s="39"/>
      <c r="H13" s="39"/>
      <c r="I13" s="39"/>
      <c r="J13" s="39"/>
      <c r="K13" s="42">
        <f t="shared" si="8"/>
        <v>0</v>
      </c>
      <c r="L13" s="39"/>
      <c r="M13" s="42">
        <f t="shared" si="1"/>
        <v>0</v>
      </c>
      <c r="N13" s="39"/>
      <c r="O13" s="39"/>
      <c r="P13" s="39"/>
      <c r="Q13" s="39"/>
      <c r="R13" s="42">
        <f t="shared" si="2"/>
        <v>0</v>
      </c>
      <c r="S13" s="39"/>
      <c r="T13" s="42">
        <f t="shared" si="3"/>
        <v>0</v>
      </c>
      <c r="U13" s="47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42">
        <f t="shared" si="9"/>
        <v>0</v>
      </c>
      <c r="AL13" s="39"/>
      <c r="AM13" s="39"/>
      <c r="AN13" s="39"/>
      <c r="AO13" s="39"/>
      <c r="AP13" s="39"/>
      <c r="AQ13" s="42">
        <f t="shared" si="4"/>
        <v>0</v>
      </c>
      <c r="AR13" s="39"/>
      <c r="AS13" s="39"/>
      <c r="AT13" s="39"/>
      <c r="AU13" s="42">
        <f t="shared" si="5"/>
        <v>0</v>
      </c>
      <c r="AV13" s="39"/>
      <c r="AW13" s="39"/>
      <c r="AX13" s="39"/>
      <c r="AY13" s="44"/>
      <c r="AZ13" s="39"/>
      <c r="BA13" s="42">
        <f t="shared" si="6"/>
        <v>0</v>
      </c>
      <c r="BB13" s="39"/>
      <c r="BC13" s="39"/>
      <c r="BD13" s="39"/>
      <c r="BE13" s="39"/>
      <c r="BF13" s="42">
        <f t="shared" si="10"/>
        <v>0</v>
      </c>
      <c r="BG13" s="39"/>
      <c r="BH13" s="45">
        <f t="shared" si="11"/>
        <v>0</v>
      </c>
      <c r="BI13" s="46">
        <f t="shared" si="12"/>
        <v>0</v>
      </c>
      <c r="BJ13" s="36"/>
    </row>
    <row r="14" spans="1:62" s="18" customFormat="1" ht="22.95" customHeight="1" x14ac:dyDescent="0.25">
      <c r="A14" s="23">
        <f t="shared" si="0"/>
        <v>10</v>
      </c>
      <c r="B14" s="19" t="s">
        <v>58</v>
      </c>
      <c r="C14" s="19" t="s">
        <v>47</v>
      </c>
      <c r="D14" s="42">
        <f t="shared" si="7"/>
        <v>0</v>
      </c>
      <c r="E14" s="39"/>
      <c r="F14" s="39"/>
      <c r="G14" s="39"/>
      <c r="H14" s="39"/>
      <c r="I14" s="39"/>
      <c r="J14" s="39"/>
      <c r="K14" s="42">
        <f t="shared" si="8"/>
        <v>0</v>
      </c>
      <c r="L14" s="39"/>
      <c r="M14" s="42">
        <f t="shared" si="1"/>
        <v>0</v>
      </c>
      <c r="N14" s="39"/>
      <c r="O14" s="39"/>
      <c r="P14" s="39"/>
      <c r="Q14" s="39"/>
      <c r="R14" s="42">
        <f t="shared" si="2"/>
        <v>0</v>
      </c>
      <c r="S14" s="39"/>
      <c r="T14" s="42">
        <f t="shared" si="3"/>
        <v>0</v>
      </c>
      <c r="U14" s="47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42">
        <f t="shared" si="9"/>
        <v>0</v>
      </c>
      <c r="AL14" s="39"/>
      <c r="AM14" s="39"/>
      <c r="AN14" s="39"/>
      <c r="AO14" s="39"/>
      <c r="AP14" s="39"/>
      <c r="AQ14" s="42">
        <f t="shared" si="4"/>
        <v>0</v>
      </c>
      <c r="AR14" s="39"/>
      <c r="AS14" s="39"/>
      <c r="AT14" s="39"/>
      <c r="AU14" s="42">
        <f t="shared" si="5"/>
        <v>0</v>
      </c>
      <c r="AV14" s="39"/>
      <c r="AW14" s="39"/>
      <c r="AX14" s="39"/>
      <c r="AY14" s="44"/>
      <c r="AZ14" s="39"/>
      <c r="BA14" s="42">
        <f t="shared" si="6"/>
        <v>0</v>
      </c>
      <c r="BB14" s="39"/>
      <c r="BC14" s="39"/>
      <c r="BD14" s="39"/>
      <c r="BE14" s="39"/>
      <c r="BF14" s="42">
        <f t="shared" si="10"/>
        <v>0</v>
      </c>
      <c r="BG14" s="39"/>
      <c r="BH14" s="45">
        <f t="shared" si="11"/>
        <v>0</v>
      </c>
      <c r="BI14" s="46">
        <f t="shared" si="12"/>
        <v>0</v>
      </c>
      <c r="BJ14" s="36"/>
    </row>
    <row r="15" spans="1:62" s="18" customFormat="1" ht="22.95" customHeight="1" x14ac:dyDescent="0.25">
      <c r="A15" s="23">
        <f t="shared" si="0"/>
        <v>11</v>
      </c>
      <c r="B15" s="19" t="s">
        <v>59</v>
      </c>
      <c r="C15" s="19" t="s">
        <v>49</v>
      </c>
      <c r="D15" s="42">
        <f t="shared" si="7"/>
        <v>0</v>
      </c>
      <c r="E15" s="39"/>
      <c r="F15" s="39"/>
      <c r="G15" s="39"/>
      <c r="H15" s="39"/>
      <c r="I15" s="39"/>
      <c r="J15" s="39"/>
      <c r="K15" s="42">
        <f t="shared" si="8"/>
        <v>0</v>
      </c>
      <c r="L15" s="39"/>
      <c r="M15" s="42">
        <f t="shared" si="1"/>
        <v>0</v>
      </c>
      <c r="N15" s="39"/>
      <c r="O15" s="39"/>
      <c r="P15" s="39"/>
      <c r="Q15" s="39"/>
      <c r="R15" s="42">
        <f t="shared" si="2"/>
        <v>0</v>
      </c>
      <c r="S15" s="39"/>
      <c r="T15" s="42">
        <f t="shared" si="3"/>
        <v>0</v>
      </c>
      <c r="U15" s="47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2">
        <f t="shared" si="9"/>
        <v>0</v>
      </c>
      <c r="AL15" s="39"/>
      <c r="AM15" s="39"/>
      <c r="AN15" s="39"/>
      <c r="AO15" s="39"/>
      <c r="AP15" s="39"/>
      <c r="AQ15" s="42">
        <f t="shared" si="4"/>
        <v>0</v>
      </c>
      <c r="AR15" s="39"/>
      <c r="AS15" s="39"/>
      <c r="AT15" s="39"/>
      <c r="AU15" s="42">
        <f t="shared" si="5"/>
        <v>0</v>
      </c>
      <c r="AV15" s="39"/>
      <c r="AW15" s="39"/>
      <c r="AX15" s="39"/>
      <c r="AY15" s="44"/>
      <c r="AZ15" s="39"/>
      <c r="BA15" s="42">
        <f t="shared" si="6"/>
        <v>0</v>
      </c>
      <c r="BB15" s="39"/>
      <c r="BC15" s="39"/>
      <c r="BD15" s="39"/>
      <c r="BE15" s="39"/>
      <c r="BF15" s="42">
        <f t="shared" si="10"/>
        <v>0</v>
      </c>
      <c r="BG15" s="39"/>
      <c r="BH15" s="45">
        <f t="shared" si="11"/>
        <v>0</v>
      </c>
      <c r="BI15" s="46">
        <f t="shared" si="12"/>
        <v>0</v>
      </c>
      <c r="BJ15" s="36"/>
    </row>
    <row r="16" spans="1:62" s="18" customFormat="1" ht="22.95" customHeight="1" x14ac:dyDescent="0.25">
      <c r="A16" s="23">
        <f t="shared" si="0"/>
        <v>12</v>
      </c>
      <c r="B16" s="19" t="s">
        <v>60</v>
      </c>
      <c r="C16" s="19" t="s">
        <v>51</v>
      </c>
      <c r="D16" s="42">
        <f t="shared" si="7"/>
        <v>0</v>
      </c>
      <c r="E16" s="39"/>
      <c r="F16" s="39"/>
      <c r="G16" s="39"/>
      <c r="H16" s="39"/>
      <c r="I16" s="39"/>
      <c r="J16" s="39"/>
      <c r="K16" s="42">
        <f t="shared" si="8"/>
        <v>0</v>
      </c>
      <c r="L16" s="39"/>
      <c r="M16" s="42">
        <f t="shared" si="1"/>
        <v>0</v>
      </c>
      <c r="N16" s="39"/>
      <c r="O16" s="39"/>
      <c r="P16" s="39"/>
      <c r="Q16" s="39"/>
      <c r="R16" s="42">
        <f t="shared" si="2"/>
        <v>0</v>
      </c>
      <c r="S16" s="39"/>
      <c r="T16" s="42">
        <f t="shared" si="3"/>
        <v>0</v>
      </c>
      <c r="U16" s="47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42">
        <f t="shared" si="9"/>
        <v>0</v>
      </c>
      <c r="AL16" s="39"/>
      <c r="AM16" s="39"/>
      <c r="AN16" s="39"/>
      <c r="AO16" s="39"/>
      <c r="AP16" s="39"/>
      <c r="AQ16" s="42">
        <f t="shared" si="4"/>
        <v>0</v>
      </c>
      <c r="AR16" s="39"/>
      <c r="AS16" s="39"/>
      <c r="AT16" s="39"/>
      <c r="AU16" s="42">
        <f t="shared" si="5"/>
        <v>0</v>
      </c>
      <c r="AV16" s="39"/>
      <c r="AW16" s="39"/>
      <c r="AX16" s="39"/>
      <c r="AY16" s="44"/>
      <c r="AZ16" s="39"/>
      <c r="BA16" s="42">
        <f t="shared" si="6"/>
        <v>0</v>
      </c>
      <c r="BB16" s="39"/>
      <c r="BC16" s="39"/>
      <c r="BD16" s="39"/>
      <c r="BE16" s="39"/>
      <c r="BF16" s="42">
        <f t="shared" si="10"/>
        <v>0</v>
      </c>
      <c r="BG16" s="39"/>
      <c r="BH16" s="45">
        <f t="shared" si="11"/>
        <v>0</v>
      </c>
      <c r="BI16" s="46">
        <f t="shared" si="12"/>
        <v>0</v>
      </c>
      <c r="BJ16" s="36"/>
    </row>
    <row r="17" spans="1:62" s="18" customFormat="1" ht="22.95" customHeight="1" x14ac:dyDescent="0.25">
      <c r="A17" s="23">
        <f t="shared" si="0"/>
        <v>13</v>
      </c>
      <c r="B17" s="19" t="s">
        <v>61</v>
      </c>
      <c r="C17" s="19" t="s">
        <v>53</v>
      </c>
      <c r="D17" s="42">
        <f t="shared" si="7"/>
        <v>0</v>
      </c>
      <c r="E17" s="39"/>
      <c r="F17" s="39"/>
      <c r="G17" s="39"/>
      <c r="H17" s="39"/>
      <c r="I17" s="39"/>
      <c r="J17" s="39"/>
      <c r="K17" s="42">
        <f t="shared" si="8"/>
        <v>0</v>
      </c>
      <c r="L17" s="39"/>
      <c r="M17" s="42">
        <f t="shared" si="1"/>
        <v>0</v>
      </c>
      <c r="N17" s="39"/>
      <c r="O17" s="39"/>
      <c r="P17" s="39"/>
      <c r="Q17" s="39"/>
      <c r="R17" s="42">
        <f t="shared" si="2"/>
        <v>0</v>
      </c>
      <c r="S17" s="39"/>
      <c r="T17" s="42">
        <f t="shared" si="3"/>
        <v>0</v>
      </c>
      <c r="U17" s="47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42">
        <f t="shared" si="9"/>
        <v>0</v>
      </c>
      <c r="AL17" s="39"/>
      <c r="AM17" s="39"/>
      <c r="AN17" s="39"/>
      <c r="AO17" s="39"/>
      <c r="AP17" s="39"/>
      <c r="AQ17" s="42">
        <f t="shared" si="4"/>
        <v>0</v>
      </c>
      <c r="AR17" s="39"/>
      <c r="AS17" s="39"/>
      <c r="AT17" s="39"/>
      <c r="AU17" s="42">
        <f t="shared" si="5"/>
        <v>0</v>
      </c>
      <c r="AV17" s="39"/>
      <c r="AW17" s="39"/>
      <c r="AX17" s="39"/>
      <c r="AY17" s="44"/>
      <c r="AZ17" s="39"/>
      <c r="BA17" s="42">
        <f t="shared" si="6"/>
        <v>0</v>
      </c>
      <c r="BB17" s="47"/>
      <c r="BC17" s="47"/>
      <c r="BD17" s="47"/>
      <c r="BE17" s="47"/>
      <c r="BF17" s="42">
        <f t="shared" si="10"/>
        <v>0</v>
      </c>
      <c r="BG17" s="47"/>
      <c r="BH17" s="45">
        <f t="shared" si="11"/>
        <v>0</v>
      </c>
      <c r="BI17" s="46">
        <f t="shared" si="12"/>
        <v>0</v>
      </c>
      <c r="BJ17" s="36"/>
    </row>
    <row r="18" spans="1:62" s="18" customFormat="1" ht="22.95" customHeight="1" x14ac:dyDescent="0.25">
      <c r="A18" s="23">
        <f t="shared" si="0"/>
        <v>14</v>
      </c>
      <c r="B18" s="19" t="s">
        <v>62</v>
      </c>
      <c r="C18" s="19" t="s">
        <v>55</v>
      </c>
      <c r="D18" s="42">
        <f t="shared" si="7"/>
        <v>0</v>
      </c>
      <c r="E18" s="39"/>
      <c r="F18" s="39"/>
      <c r="G18" s="39"/>
      <c r="H18" s="39"/>
      <c r="I18" s="39"/>
      <c r="J18" s="39"/>
      <c r="K18" s="42">
        <f t="shared" si="8"/>
        <v>0</v>
      </c>
      <c r="L18" s="39"/>
      <c r="M18" s="42">
        <f t="shared" si="1"/>
        <v>0</v>
      </c>
      <c r="N18" s="48"/>
      <c r="O18" s="48"/>
      <c r="P18" s="39"/>
      <c r="Q18" s="39"/>
      <c r="R18" s="42">
        <f t="shared" si="2"/>
        <v>0</v>
      </c>
      <c r="S18" s="39"/>
      <c r="T18" s="42">
        <f t="shared" si="3"/>
        <v>0</v>
      </c>
      <c r="U18" s="47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42">
        <f t="shared" si="9"/>
        <v>0</v>
      </c>
      <c r="AL18" s="39"/>
      <c r="AM18" s="44"/>
      <c r="AN18" s="39"/>
      <c r="AO18" s="39"/>
      <c r="AP18" s="39"/>
      <c r="AQ18" s="42">
        <f t="shared" si="4"/>
        <v>0</v>
      </c>
      <c r="AR18" s="39"/>
      <c r="AS18" s="39"/>
      <c r="AT18" s="39"/>
      <c r="AU18" s="42">
        <f t="shared" si="5"/>
        <v>0</v>
      </c>
      <c r="AV18" s="39"/>
      <c r="AW18" s="39"/>
      <c r="AX18" s="39"/>
      <c r="AY18" s="44"/>
      <c r="AZ18" s="39"/>
      <c r="BA18" s="42">
        <f t="shared" si="6"/>
        <v>0</v>
      </c>
      <c r="BB18" s="47"/>
      <c r="BC18" s="47"/>
      <c r="BD18" s="47"/>
      <c r="BE18" s="47"/>
      <c r="BF18" s="42">
        <f t="shared" si="10"/>
        <v>0</v>
      </c>
      <c r="BG18" s="47"/>
      <c r="BH18" s="45">
        <f t="shared" si="11"/>
        <v>0</v>
      </c>
      <c r="BI18" s="46">
        <f t="shared" si="12"/>
        <v>0</v>
      </c>
      <c r="BJ18" s="36"/>
    </row>
    <row r="19" spans="1:62" s="18" customFormat="1" ht="22.95" customHeight="1" x14ac:dyDescent="0.25">
      <c r="A19" s="23">
        <f t="shared" si="0"/>
        <v>15</v>
      </c>
      <c r="B19" s="19" t="s">
        <v>63</v>
      </c>
      <c r="C19" s="19" t="s">
        <v>43</v>
      </c>
      <c r="D19" s="42">
        <f t="shared" si="7"/>
        <v>0</v>
      </c>
      <c r="E19" s="39"/>
      <c r="F19" s="39"/>
      <c r="G19" s="39"/>
      <c r="H19" s="39"/>
      <c r="I19" s="39"/>
      <c r="J19" s="39"/>
      <c r="K19" s="42">
        <f t="shared" si="8"/>
        <v>0</v>
      </c>
      <c r="L19" s="39"/>
      <c r="M19" s="42">
        <f t="shared" si="1"/>
        <v>0</v>
      </c>
      <c r="N19" s="39"/>
      <c r="O19" s="39"/>
      <c r="P19" s="39"/>
      <c r="Q19" s="39"/>
      <c r="R19" s="42">
        <f t="shared" si="2"/>
        <v>0</v>
      </c>
      <c r="S19" s="39"/>
      <c r="T19" s="42">
        <f t="shared" si="3"/>
        <v>0</v>
      </c>
      <c r="U19" s="47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42">
        <f t="shared" si="9"/>
        <v>0</v>
      </c>
      <c r="AL19" s="39"/>
      <c r="AM19" s="39"/>
      <c r="AN19" s="39"/>
      <c r="AO19" s="39"/>
      <c r="AP19" s="39"/>
      <c r="AQ19" s="42">
        <f t="shared" si="4"/>
        <v>0</v>
      </c>
      <c r="AR19" s="39"/>
      <c r="AS19" s="39"/>
      <c r="AT19" s="39"/>
      <c r="AU19" s="42">
        <f t="shared" si="5"/>
        <v>0</v>
      </c>
      <c r="AV19" s="39"/>
      <c r="AW19" s="39"/>
      <c r="AX19" s="39"/>
      <c r="AY19" s="39"/>
      <c r="AZ19" s="39"/>
      <c r="BA19" s="42">
        <f t="shared" si="6"/>
        <v>0</v>
      </c>
      <c r="BB19" s="47"/>
      <c r="BC19" s="47"/>
      <c r="BD19" s="47"/>
      <c r="BE19" s="47"/>
      <c r="BF19" s="42">
        <f t="shared" si="10"/>
        <v>0</v>
      </c>
      <c r="BG19" s="47"/>
      <c r="BH19" s="45">
        <f t="shared" si="11"/>
        <v>0</v>
      </c>
      <c r="BI19" s="46">
        <f t="shared" si="12"/>
        <v>0</v>
      </c>
      <c r="BJ19" s="36"/>
    </row>
    <row r="20" spans="1:62" s="18" customFormat="1" ht="22.95" customHeight="1" x14ac:dyDescent="0.25">
      <c r="A20" s="23">
        <f t="shared" si="0"/>
        <v>16</v>
      </c>
      <c r="B20" s="19" t="s">
        <v>64</v>
      </c>
      <c r="C20" s="19" t="s">
        <v>45</v>
      </c>
      <c r="D20" s="42">
        <f t="shared" si="7"/>
        <v>0</v>
      </c>
      <c r="E20" s="39"/>
      <c r="F20" s="39"/>
      <c r="G20" s="39"/>
      <c r="H20" s="39"/>
      <c r="I20" s="39"/>
      <c r="J20" s="39"/>
      <c r="K20" s="42">
        <f t="shared" si="8"/>
        <v>0</v>
      </c>
      <c r="L20" s="39"/>
      <c r="M20" s="42">
        <f t="shared" si="1"/>
        <v>0</v>
      </c>
      <c r="N20" s="39"/>
      <c r="O20" s="39"/>
      <c r="P20" s="39"/>
      <c r="Q20" s="39"/>
      <c r="R20" s="42">
        <f t="shared" si="2"/>
        <v>0</v>
      </c>
      <c r="S20" s="39"/>
      <c r="T20" s="42">
        <f t="shared" si="3"/>
        <v>0</v>
      </c>
      <c r="U20" s="47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42">
        <f t="shared" si="9"/>
        <v>0</v>
      </c>
      <c r="AL20" s="39"/>
      <c r="AM20" s="39"/>
      <c r="AN20" s="39"/>
      <c r="AO20" s="39"/>
      <c r="AP20" s="44"/>
      <c r="AQ20" s="42">
        <f t="shared" si="4"/>
        <v>0</v>
      </c>
      <c r="AR20" s="39"/>
      <c r="AS20" s="39"/>
      <c r="AT20" s="39"/>
      <c r="AU20" s="42">
        <f t="shared" si="5"/>
        <v>0</v>
      </c>
      <c r="AV20" s="39"/>
      <c r="AW20" s="39"/>
      <c r="AX20" s="39"/>
      <c r="AY20" s="39"/>
      <c r="AZ20" s="39"/>
      <c r="BA20" s="42">
        <f t="shared" si="6"/>
        <v>0</v>
      </c>
      <c r="BB20" s="47"/>
      <c r="BC20" s="47"/>
      <c r="BD20" s="47"/>
      <c r="BE20" s="47"/>
      <c r="BF20" s="42">
        <f t="shared" si="10"/>
        <v>0</v>
      </c>
      <c r="BG20" s="47"/>
      <c r="BH20" s="45">
        <f t="shared" si="11"/>
        <v>0</v>
      </c>
      <c r="BI20" s="46">
        <f t="shared" si="12"/>
        <v>0</v>
      </c>
      <c r="BJ20" s="36"/>
    </row>
    <row r="21" spans="1:62" s="18" customFormat="1" ht="22.95" customHeight="1" x14ac:dyDescent="0.25">
      <c r="A21" s="23">
        <f t="shared" si="0"/>
        <v>17</v>
      </c>
      <c r="B21" s="19" t="s">
        <v>65</v>
      </c>
      <c r="C21" s="19" t="s">
        <v>47</v>
      </c>
      <c r="D21" s="42">
        <f t="shared" si="7"/>
        <v>0</v>
      </c>
      <c r="E21" s="39"/>
      <c r="F21" s="39"/>
      <c r="G21" s="39"/>
      <c r="H21" s="39"/>
      <c r="I21" s="39"/>
      <c r="J21" s="39"/>
      <c r="K21" s="42">
        <f t="shared" si="8"/>
        <v>0</v>
      </c>
      <c r="L21" s="39"/>
      <c r="M21" s="42">
        <f t="shared" si="1"/>
        <v>0</v>
      </c>
      <c r="N21" s="39"/>
      <c r="O21" s="39"/>
      <c r="P21" s="39"/>
      <c r="Q21" s="39"/>
      <c r="R21" s="42">
        <f t="shared" si="2"/>
        <v>0</v>
      </c>
      <c r="S21" s="39"/>
      <c r="T21" s="42">
        <f t="shared" si="3"/>
        <v>0</v>
      </c>
      <c r="U21" s="47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42">
        <f t="shared" si="9"/>
        <v>0</v>
      </c>
      <c r="AL21" s="39"/>
      <c r="AM21" s="44"/>
      <c r="AN21" s="39"/>
      <c r="AO21" s="39"/>
      <c r="AP21" s="44"/>
      <c r="AQ21" s="42">
        <f t="shared" si="4"/>
        <v>0</v>
      </c>
      <c r="AR21" s="39"/>
      <c r="AS21" s="39"/>
      <c r="AT21" s="39"/>
      <c r="AU21" s="42">
        <f t="shared" si="5"/>
        <v>0</v>
      </c>
      <c r="AV21" s="39"/>
      <c r="AW21" s="39"/>
      <c r="AX21" s="39"/>
      <c r="AY21" s="44"/>
      <c r="AZ21" s="39"/>
      <c r="BA21" s="42">
        <f t="shared" si="6"/>
        <v>0</v>
      </c>
      <c r="BB21" s="47"/>
      <c r="BC21" s="47"/>
      <c r="BD21" s="47"/>
      <c r="BE21" s="47"/>
      <c r="BF21" s="42">
        <f t="shared" si="10"/>
        <v>0</v>
      </c>
      <c r="BG21" s="47"/>
      <c r="BH21" s="45">
        <f t="shared" si="11"/>
        <v>0</v>
      </c>
      <c r="BI21" s="46">
        <f t="shared" si="12"/>
        <v>0</v>
      </c>
      <c r="BJ21" s="36"/>
    </row>
    <row r="22" spans="1:62" s="18" customFormat="1" ht="22.95" customHeight="1" x14ac:dyDescent="0.25">
      <c r="A22" s="23">
        <f t="shared" si="0"/>
        <v>18</v>
      </c>
      <c r="B22" s="19" t="s">
        <v>66</v>
      </c>
      <c r="C22" s="19" t="s">
        <v>49</v>
      </c>
      <c r="D22" s="42">
        <f t="shared" si="7"/>
        <v>0</v>
      </c>
      <c r="E22" s="39"/>
      <c r="F22" s="39"/>
      <c r="G22" s="39"/>
      <c r="H22" s="39"/>
      <c r="I22" s="39"/>
      <c r="J22" s="39"/>
      <c r="K22" s="42">
        <f t="shared" si="8"/>
        <v>0</v>
      </c>
      <c r="L22" s="39"/>
      <c r="M22" s="42">
        <f t="shared" si="1"/>
        <v>0</v>
      </c>
      <c r="N22" s="39"/>
      <c r="O22" s="39"/>
      <c r="P22" s="39"/>
      <c r="Q22" s="39"/>
      <c r="R22" s="42">
        <f t="shared" si="2"/>
        <v>0</v>
      </c>
      <c r="S22" s="39"/>
      <c r="T22" s="42">
        <f t="shared" si="3"/>
        <v>0</v>
      </c>
      <c r="U22" s="47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42">
        <f t="shared" si="9"/>
        <v>0</v>
      </c>
      <c r="AL22" s="39"/>
      <c r="AM22" s="39"/>
      <c r="AN22" s="44"/>
      <c r="AO22" s="39"/>
      <c r="AP22" s="44"/>
      <c r="AQ22" s="42">
        <f t="shared" si="4"/>
        <v>0</v>
      </c>
      <c r="AR22" s="39"/>
      <c r="AS22" s="39"/>
      <c r="AT22" s="39"/>
      <c r="AU22" s="42">
        <f t="shared" si="5"/>
        <v>0</v>
      </c>
      <c r="AV22" s="39"/>
      <c r="AW22" s="39"/>
      <c r="AX22" s="39"/>
      <c r="AY22" s="44"/>
      <c r="AZ22" s="49"/>
      <c r="BA22" s="42">
        <f t="shared" si="6"/>
        <v>0</v>
      </c>
      <c r="BB22" s="44"/>
      <c r="BC22" s="44"/>
      <c r="BD22" s="44"/>
      <c r="BE22" s="44"/>
      <c r="BF22" s="42">
        <f t="shared" si="10"/>
        <v>0</v>
      </c>
      <c r="BG22" s="44"/>
      <c r="BH22" s="45">
        <f t="shared" si="11"/>
        <v>0</v>
      </c>
      <c r="BI22" s="46">
        <f t="shared" si="12"/>
        <v>0</v>
      </c>
      <c r="BJ22" s="40"/>
    </row>
    <row r="23" spans="1:62" s="18" customFormat="1" ht="22.95" customHeight="1" x14ac:dyDescent="0.25">
      <c r="A23" s="23">
        <f t="shared" si="0"/>
        <v>19</v>
      </c>
      <c r="B23" s="19" t="s">
        <v>67</v>
      </c>
      <c r="C23" s="19" t="s">
        <v>51</v>
      </c>
      <c r="D23" s="42">
        <f t="shared" si="7"/>
        <v>0</v>
      </c>
      <c r="E23" s="39"/>
      <c r="F23" s="39"/>
      <c r="G23" s="39"/>
      <c r="H23" s="39"/>
      <c r="I23" s="39"/>
      <c r="J23" s="39"/>
      <c r="K23" s="42">
        <f t="shared" si="8"/>
        <v>0</v>
      </c>
      <c r="L23" s="39"/>
      <c r="M23" s="42">
        <f t="shared" si="1"/>
        <v>0</v>
      </c>
      <c r="N23" s="39"/>
      <c r="O23" s="39"/>
      <c r="P23" s="39"/>
      <c r="Q23" s="39"/>
      <c r="R23" s="42">
        <f t="shared" si="2"/>
        <v>0</v>
      </c>
      <c r="S23" s="39"/>
      <c r="T23" s="42">
        <f t="shared" si="3"/>
        <v>0</v>
      </c>
      <c r="U23" s="47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42">
        <f t="shared" si="9"/>
        <v>0</v>
      </c>
      <c r="AL23" s="39"/>
      <c r="AM23" s="39"/>
      <c r="AN23" s="39"/>
      <c r="AO23" s="44"/>
      <c r="AP23" s="39"/>
      <c r="AQ23" s="42">
        <f t="shared" si="4"/>
        <v>0</v>
      </c>
      <c r="AR23" s="39"/>
      <c r="AS23" s="39"/>
      <c r="AT23" s="39"/>
      <c r="AU23" s="42">
        <f t="shared" si="5"/>
        <v>0</v>
      </c>
      <c r="AV23" s="39"/>
      <c r="AW23" s="39"/>
      <c r="AX23" s="39"/>
      <c r="AY23" s="44"/>
      <c r="AZ23" s="44"/>
      <c r="BA23" s="42">
        <f t="shared" si="6"/>
        <v>0</v>
      </c>
      <c r="BB23" s="39"/>
      <c r="BC23" s="39"/>
      <c r="BD23" s="39"/>
      <c r="BE23" s="39"/>
      <c r="BF23" s="42">
        <f t="shared" si="10"/>
        <v>0</v>
      </c>
      <c r="BG23" s="39"/>
      <c r="BH23" s="45">
        <f t="shared" si="11"/>
        <v>0</v>
      </c>
      <c r="BI23" s="46">
        <f t="shared" si="12"/>
        <v>0</v>
      </c>
      <c r="BJ23" s="41"/>
    </row>
    <row r="24" spans="1:62" s="18" customFormat="1" ht="22.95" customHeight="1" x14ac:dyDescent="0.25">
      <c r="A24" s="23">
        <f t="shared" si="0"/>
        <v>20</v>
      </c>
      <c r="B24" s="19" t="s">
        <v>68</v>
      </c>
      <c r="C24" s="19" t="s">
        <v>53</v>
      </c>
      <c r="D24" s="42">
        <f t="shared" si="7"/>
        <v>0</v>
      </c>
      <c r="E24" s="39"/>
      <c r="F24" s="39"/>
      <c r="G24" s="39"/>
      <c r="H24" s="39"/>
      <c r="I24" s="39"/>
      <c r="J24" s="39"/>
      <c r="K24" s="42">
        <f t="shared" si="8"/>
        <v>0</v>
      </c>
      <c r="L24" s="39"/>
      <c r="M24" s="42">
        <f t="shared" si="1"/>
        <v>0</v>
      </c>
      <c r="N24" s="39"/>
      <c r="O24" s="39"/>
      <c r="P24" s="39"/>
      <c r="Q24" s="39"/>
      <c r="R24" s="42">
        <f t="shared" si="2"/>
        <v>0</v>
      </c>
      <c r="S24" s="39"/>
      <c r="T24" s="42">
        <f t="shared" si="3"/>
        <v>0</v>
      </c>
      <c r="U24" s="47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42">
        <f t="shared" si="9"/>
        <v>0</v>
      </c>
      <c r="AL24" s="39"/>
      <c r="AM24" s="39"/>
      <c r="AN24" s="39"/>
      <c r="AO24" s="39"/>
      <c r="AP24" s="44"/>
      <c r="AQ24" s="42">
        <f t="shared" si="4"/>
        <v>0</v>
      </c>
      <c r="AR24" s="39"/>
      <c r="AS24" s="39"/>
      <c r="AT24" s="39"/>
      <c r="AU24" s="42">
        <f t="shared" si="5"/>
        <v>0</v>
      </c>
      <c r="AV24" s="39"/>
      <c r="AW24" s="39"/>
      <c r="AX24" s="39"/>
      <c r="AY24" s="44"/>
      <c r="AZ24" s="39"/>
      <c r="BA24" s="42">
        <f t="shared" si="6"/>
        <v>0</v>
      </c>
      <c r="BB24" s="39"/>
      <c r="BC24" s="39"/>
      <c r="BD24" s="39"/>
      <c r="BE24" s="39"/>
      <c r="BF24" s="42">
        <f t="shared" si="10"/>
        <v>0</v>
      </c>
      <c r="BG24" s="39"/>
      <c r="BH24" s="45">
        <f t="shared" si="11"/>
        <v>0</v>
      </c>
      <c r="BI24" s="46">
        <f t="shared" si="12"/>
        <v>0</v>
      </c>
      <c r="BJ24" s="41"/>
    </row>
    <row r="25" spans="1:62" s="18" customFormat="1" ht="22.95" customHeight="1" x14ac:dyDescent="0.25">
      <c r="A25" s="23">
        <f t="shared" si="0"/>
        <v>21</v>
      </c>
      <c r="B25" s="19" t="s">
        <v>69</v>
      </c>
      <c r="C25" s="19" t="s">
        <v>55</v>
      </c>
      <c r="D25" s="42">
        <f t="shared" si="7"/>
        <v>0</v>
      </c>
      <c r="E25" s="39"/>
      <c r="F25" s="39"/>
      <c r="G25" s="39"/>
      <c r="H25" s="39"/>
      <c r="I25" s="39"/>
      <c r="J25" s="39"/>
      <c r="K25" s="42">
        <f t="shared" si="8"/>
        <v>0</v>
      </c>
      <c r="L25" s="39"/>
      <c r="M25" s="42">
        <f t="shared" si="1"/>
        <v>0</v>
      </c>
      <c r="N25" s="39"/>
      <c r="O25" s="39"/>
      <c r="P25" s="39"/>
      <c r="Q25" s="39"/>
      <c r="R25" s="42">
        <f t="shared" si="2"/>
        <v>0</v>
      </c>
      <c r="S25" s="39"/>
      <c r="T25" s="42">
        <f t="shared" si="3"/>
        <v>0</v>
      </c>
      <c r="U25" s="47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42">
        <f t="shared" si="9"/>
        <v>0</v>
      </c>
      <c r="AL25" s="39"/>
      <c r="AM25" s="39"/>
      <c r="AN25" s="39"/>
      <c r="AO25" s="39"/>
      <c r="AP25" s="39"/>
      <c r="AQ25" s="42">
        <f t="shared" si="4"/>
        <v>0</v>
      </c>
      <c r="AR25" s="39"/>
      <c r="AS25" s="39"/>
      <c r="AT25" s="39"/>
      <c r="AU25" s="42">
        <f t="shared" si="5"/>
        <v>0</v>
      </c>
      <c r="AV25" s="39"/>
      <c r="AW25" s="39"/>
      <c r="AX25" s="39"/>
      <c r="AY25" s="44"/>
      <c r="AZ25" s="39"/>
      <c r="BA25" s="42">
        <f t="shared" si="6"/>
        <v>0</v>
      </c>
      <c r="BB25" s="39"/>
      <c r="BC25" s="39"/>
      <c r="BD25" s="39"/>
      <c r="BE25" s="39"/>
      <c r="BF25" s="42">
        <f t="shared" si="10"/>
        <v>0</v>
      </c>
      <c r="BG25" s="39"/>
      <c r="BH25" s="45">
        <f t="shared" si="11"/>
        <v>0</v>
      </c>
      <c r="BI25" s="46">
        <f t="shared" si="12"/>
        <v>0</v>
      </c>
      <c r="BJ25" s="41"/>
    </row>
    <row r="26" spans="1:62" s="18" customFormat="1" ht="22.95" customHeight="1" x14ac:dyDescent="0.25">
      <c r="A26" s="23">
        <f t="shared" si="0"/>
        <v>22</v>
      </c>
      <c r="B26" s="19" t="s">
        <v>70</v>
      </c>
      <c r="C26" s="19" t="s">
        <v>43</v>
      </c>
      <c r="D26" s="42">
        <f t="shared" si="7"/>
        <v>0</v>
      </c>
      <c r="E26" s="39"/>
      <c r="F26" s="39"/>
      <c r="G26" s="39"/>
      <c r="H26" s="39"/>
      <c r="I26" s="39"/>
      <c r="J26" s="39"/>
      <c r="K26" s="42">
        <f t="shared" si="8"/>
        <v>0</v>
      </c>
      <c r="L26" s="39"/>
      <c r="M26" s="42">
        <f t="shared" si="1"/>
        <v>0</v>
      </c>
      <c r="N26" s="39"/>
      <c r="O26" s="39"/>
      <c r="P26" s="39"/>
      <c r="Q26" s="39"/>
      <c r="R26" s="42">
        <f t="shared" si="2"/>
        <v>0</v>
      </c>
      <c r="S26" s="39"/>
      <c r="T26" s="42">
        <f t="shared" si="3"/>
        <v>0</v>
      </c>
      <c r="U26" s="47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42">
        <f t="shared" si="9"/>
        <v>0</v>
      </c>
      <c r="AL26" s="39"/>
      <c r="AM26" s="39"/>
      <c r="AN26" s="39"/>
      <c r="AO26" s="39"/>
      <c r="AP26" s="39"/>
      <c r="AQ26" s="42">
        <f t="shared" si="4"/>
        <v>0</v>
      </c>
      <c r="AR26" s="39"/>
      <c r="AS26" s="39"/>
      <c r="AT26" s="39"/>
      <c r="AU26" s="42">
        <f t="shared" si="5"/>
        <v>0</v>
      </c>
      <c r="AV26" s="39"/>
      <c r="AW26" s="39"/>
      <c r="AX26" s="39"/>
      <c r="AY26" s="44"/>
      <c r="AZ26" s="39"/>
      <c r="BA26" s="42">
        <f t="shared" si="6"/>
        <v>0</v>
      </c>
      <c r="BB26" s="47"/>
      <c r="BC26" s="47"/>
      <c r="BD26" s="47"/>
      <c r="BE26" s="47"/>
      <c r="BF26" s="42">
        <f t="shared" si="10"/>
        <v>0</v>
      </c>
      <c r="BG26" s="47"/>
      <c r="BH26" s="45">
        <f t="shared" si="11"/>
        <v>0</v>
      </c>
      <c r="BI26" s="46">
        <f t="shared" si="12"/>
        <v>0</v>
      </c>
      <c r="BJ26" s="41"/>
    </row>
    <row r="27" spans="1:62" s="18" customFormat="1" ht="22.95" customHeight="1" x14ac:dyDescent="0.25">
      <c r="A27" s="23">
        <f t="shared" si="0"/>
        <v>23</v>
      </c>
      <c r="B27" s="19" t="s">
        <v>71</v>
      </c>
      <c r="C27" s="19" t="s">
        <v>45</v>
      </c>
      <c r="D27" s="42">
        <f t="shared" si="7"/>
        <v>0</v>
      </c>
      <c r="E27" s="39"/>
      <c r="F27" s="39"/>
      <c r="G27" s="39"/>
      <c r="H27" s="39"/>
      <c r="I27" s="39"/>
      <c r="J27" s="39"/>
      <c r="K27" s="42">
        <f t="shared" si="8"/>
        <v>0</v>
      </c>
      <c r="L27" s="39"/>
      <c r="M27" s="42">
        <f t="shared" si="1"/>
        <v>0</v>
      </c>
      <c r="N27" s="39"/>
      <c r="O27" s="39"/>
      <c r="P27" s="39"/>
      <c r="Q27" s="39"/>
      <c r="R27" s="42">
        <f t="shared" si="2"/>
        <v>0</v>
      </c>
      <c r="S27" s="39"/>
      <c r="T27" s="42">
        <f t="shared" si="3"/>
        <v>0</v>
      </c>
      <c r="U27" s="47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42">
        <f t="shared" si="9"/>
        <v>0</v>
      </c>
      <c r="AL27" s="39"/>
      <c r="AM27" s="39"/>
      <c r="AN27" s="39"/>
      <c r="AO27" s="39"/>
      <c r="AP27" s="44"/>
      <c r="AQ27" s="42">
        <f t="shared" ref="AQ27:AQ35" si="13">AM27-AN27-AO27-AP27</f>
        <v>0</v>
      </c>
      <c r="AR27" s="39"/>
      <c r="AS27" s="39"/>
      <c r="AT27" s="39"/>
      <c r="AU27" s="42">
        <f t="shared" si="5"/>
        <v>0</v>
      </c>
      <c r="AV27" s="39"/>
      <c r="AW27" s="39"/>
      <c r="AX27" s="39"/>
      <c r="AY27" s="44"/>
      <c r="AZ27" s="39"/>
      <c r="BA27" s="42">
        <f t="shared" si="6"/>
        <v>0</v>
      </c>
      <c r="BB27" s="39"/>
      <c r="BC27" s="39"/>
      <c r="BD27" s="39"/>
      <c r="BE27" s="39"/>
      <c r="BF27" s="42">
        <f t="shared" si="10"/>
        <v>0</v>
      </c>
      <c r="BG27" s="39"/>
      <c r="BH27" s="45">
        <f t="shared" si="11"/>
        <v>0</v>
      </c>
      <c r="BI27" s="46">
        <f t="shared" si="12"/>
        <v>0</v>
      </c>
      <c r="BJ27" s="41"/>
    </row>
    <row r="28" spans="1:62" s="18" customFormat="1" ht="22.95" customHeight="1" x14ac:dyDescent="0.25">
      <c r="A28" s="23">
        <f t="shared" si="0"/>
        <v>24</v>
      </c>
      <c r="B28" s="19" t="s">
        <v>72</v>
      </c>
      <c r="C28" s="19" t="s">
        <v>47</v>
      </c>
      <c r="D28" s="42">
        <f t="shared" si="7"/>
        <v>0</v>
      </c>
      <c r="E28" s="39"/>
      <c r="F28" s="39"/>
      <c r="G28" s="39"/>
      <c r="H28" s="39"/>
      <c r="I28" s="39"/>
      <c r="J28" s="39"/>
      <c r="K28" s="42">
        <f t="shared" si="8"/>
        <v>0</v>
      </c>
      <c r="L28" s="39"/>
      <c r="M28" s="42">
        <f t="shared" si="1"/>
        <v>0</v>
      </c>
      <c r="N28" s="39"/>
      <c r="O28" s="39"/>
      <c r="P28" s="39"/>
      <c r="Q28" s="39"/>
      <c r="R28" s="42">
        <f t="shared" si="2"/>
        <v>0</v>
      </c>
      <c r="S28" s="39"/>
      <c r="T28" s="42">
        <f t="shared" si="3"/>
        <v>0</v>
      </c>
      <c r="U28" s="47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42">
        <f t="shared" si="9"/>
        <v>0</v>
      </c>
      <c r="AL28" s="39"/>
      <c r="AM28" s="44"/>
      <c r="AN28" s="39"/>
      <c r="AO28" s="39"/>
      <c r="AP28" s="44"/>
      <c r="AQ28" s="42">
        <f t="shared" si="13"/>
        <v>0</v>
      </c>
      <c r="AR28" s="39"/>
      <c r="AS28" s="39"/>
      <c r="AT28" s="39"/>
      <c r="AU28" s="42">
        <f t="shared" si="5"/>
        <v>0</v>
      </c>
      <c r="AV28" s="39"/>
      <c r="AW28" s="39"/>
      <c r="AX28" s="39"/>
      <c r="AY28" s="44"/>
      <c r="AZ28" s="44"/>
      <c r="BA28" s="42">
        <f t="shared" si="6"/>
        <v>0</v>
      </c>
      <c r="BB28" s="47"/>
      <c r="BC28" s="47"/>
      <c r="BD28" s="47"/>
      <c r="BE28" s="47"/>
      <c r="BF28" s="42">
        <f t="shared" si="10"/>
        <v>0</v>
      </c>
      <c r="BG28" s="47"/>
      <c r="BH28" s="45">
        <f t="shared" si="11"/>
        <v>0</v>
      </c>
      <c r="BI28" s="46">
        <f t="shared" si="12"/>
        <v>0</v>
      </c>
      <c r="BJ28" s="41"/>
    </row>
    <row r="29" spans="1:62" s="18" customFormat="1" ht="22.95" customHeight="1" x14ac:dyDescent="0.25">
      <c r="A29" s="23">
        <f t="shared" si="0"/>
        <v>25</v>
      </c>
      <c r="B29" s="19" t="s">
        <v>73</v>
      </c>
      <c r="C29" s="19" t="s">
        <v>49</v>
      </c>
      <c r="D29" s="42">
        <f t="shared" si="7"/>
        <v>0</v>
      </c>
      <c r="E29" s="39"/>
      <c r="F29" s="39"/>
      <c r="G29" s="39"/>
      <c r="H29" s="39"/>
      <c r="I29" s="39"/>
      <c r="J29" s="39"/>
      <c r="K29" s="42">
        <f t="shared" si="8"/>
        <v>0</v>
      </c>
      <c r="L29" s="39"/>
      <c r="M29" s="42">
        <f t="shared" si="1"/>
        <v>0</v>
      </c>
      <c r="N29" s="39"/>
      <c r="O29" s="39"/>
      <c r="P29" s="39"/>
      <c r="Q29" s="39"/>
      <c r="R29" s="42">
        <f t="shared" si="2"/>
        <v>0</v>
      </c>
      <c r="S29" s="39"/>
      <c r="T29" s="42">
        <f t="shared" si="3"/>
        <v>0</v>
      </c>
      <c r="U29" s="47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42">
        <f t="shared" si="9"/>
        <v>0</v>
      </c>
      <c r="AL29" s="39"/>
      <c r="AM29" s="44"/>
      <c r="AN29" s="44"/>
      <c r="AO29" s="39"/>
      <c r="AP29" s="39"/>
      <c r="AQ29" s="42">
        <f t="shared" si="13"/>
        <v>0</v>
      </c>
      <c r="AR29" s="39"/>
      <c r="AS29" s="39"/>
      <c r="AT29" s="39"/>
      <c r="AU29" s="42">
        <f t="shared" si="5"/>
        <v>0</v>
      </c>
      <c r="AV29" s="39"/>
      <c r="AW29" s="39"/>
      <c r="AX29" s="39"/>
      <c r="AY29" s="44"/>
      <c r="AZ29" s="39"/>
      <c r="BA29" s="42">
        <f t="shared" si="6"/>
        <v>0</v>
      </c>
      <c r="BB29" s="39"/>
      <c r="BC29" s="39"/>
      <c r="BD29" s="39"/>
      <c r="BE29" s="39"/>
      <c r="BF29" s="42">
        <f t="shared" si="10"/>
        <v>0</v>
      </c>
      <c r="BG29" s="39"/>
      <c r="BH29" s="45">
        <f t="shared" si="11"/>
        <v>0</v>
      </c>
      <c r="BI29" s="46">
        <f t="shared" si="12"/>
        <v>0</v>
      </c>
      <c r="BJ29" s="41"/>
    </row>
    <row r="30" spans="1:62" s="18" customFormat="1" ht="22.95" customHeight="1" x14ac:dyDescent="0.25">
      <c r="A30" s="23">
        <f t="shared" si="0"/>
        <v>26</v>
      </c>
      <c r="B30" s="19" t="s">
        <v>74</v>
      </c>
      <c r="C30" s="19" t="s">
        <v>51</v>
      </c>
      <c r="D30" s="42">
        <f t="shared" si="7"/>
        <v>0</v>
      </c>
      <c r="E30" s="39"/>
      <c r="F30" s="39"/>
      <c r="G30" s="39"/>
      <c r="H30" s="39"/>
      <c r="I30" s="39"/>
      <c r="J30" s="39"/>
      <c r="K30" s="42">
        <f t="shared" si="8"/>
        <v>0</v>
      </c>
      <c r="L30" s="39"/>
      <c r="M30" s="42">
        <f t="shared" si="1"/>
        <v>0</v>
      </c>
      <c r="N30" s="39"/>
      <c r="O30" s="39"/>
      <c r="P30" s="39"/>
      <c r="Q30" s="39"/>
      <c r="R30" s="42">
        <f t="shared" si="2"/>
        <v>0</v>
      </c>
      <c r="S30" s="39"/>
      <c r="T30" s="42">
        <f t="shared" si="3"/>
        <v>0</v>
      </c>
      <c r="U30" s="47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42">
        <f t="shared" si="9"/>
        <v>0</v>
      </c>
      <c r="AL30" s="39"/>
      <c r="AM30" s="39"/>
      <c r="AN30" s="39"/>
      <c r="AO30" s="39"/>
      <c r="AP30" s="39"/>
      <c r="AQ30" s="42">
        <f t="shared" si="13"/>
        <v>0</v>
      </c>
      <c r="AR30" s="39"/>
      <c r="AS30" s="39"/>
      <c r="AT30" s="39"/>
      <c r="AU30" s="42">
        <f t="shared" si="5"/>
        <v>0</v>
      </c>
      <c r="AV30" s="39"/>
      <c r="AW30" s="39"/>
      <c r="AX30" s="39"/>
      <c r="AY30" s="44"/>
      <c r="AZ30" s="39"/>
      <c r="BA30" s="42">
        <f t="shared" si="6"/>
        <v>0</v>
      </c>
      <c r="BB30" s="39"/>
      <c r="BC30" s="39"/>
      <c r="BD30" s="39"/>
      <c r="BE30" s="39"/>
      <c r="BF30" s="42">
        <f t="shared" si="10"/>
        <v>0</v>
      </c>
      <c r="BG30" s="39"/>
      <c r="BH30" s="45">
        <f t="shared" si="11"/>
        <v>0</v>
      </c>
      <c r="BI30" s="46">
        <f t="shared" si="12"/>
        <v>0</v>
      </c>
      <c r="BJ30" s="41"/>
    </row>
    <row r="31" spans="1:62" s="18" customFormat="1" ht="22.95" customHeight="1" x14ac:dyDescent="0.25">
      <c r="A31" s="23">
        <f t="shared" si="0"/>
        <v>27</v>
      </c>
      <c r="B31" s="19" t="s">
        <v>75</v>
      </c>
      <c r="C31" s="19" t="s">
        <v>53</v>
      </c>
      <c r="D31" s="42">
        <f t="shared" si="7"/>
        <v>0</v>
      </c>
      <c r="E31" s="39"/>
      <c r="F31" s="39"/>
      <c r="G31" s="39"/>
      <c r="H31" s="39"/>
      <c r="I31" s="39"/>
      <c r="J31" s="39"/>
      <c r="K31" s="42">
        <f t="shared" si="8"/>
        <v>0</v>
      </c>
      <c r="L31" s="39"/>
      <c r="M31" s="42">
        <f t="shared" si="1"/>
        <v>0</v>
      </c>
      <c r="N31" s="39"/>
      <c r="O31" s="39"/>
      <c r="P31" s="39"/>
      <c r="Q31" s="39"/>
      <c r="R31" s="42">
        <f t="shared" si="2"/>
        <v>0</v>
      </c>
      <c r="S31" s="39"/>
      <c r="T31" s="42">
        <f t="shared" si="3"/>
        <v>0</v>
      </c>
      <c r="U31" s="47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42">
        <f t="shared" si="9"/>
        <v>0</v>
      </c>
      <c r="AL31" s="47"/>
      <c r="AM31" s="39"/>
      <c r="AN31" s="39"/>
      <c r="AO31" s="39"/>
      <c r="AP31" s="39"/>
      <c r="AQ31" s="42">
        <f t="shared" si="13"/>
        <v>0</v>
      </c>
      <c r="AR31" s="39"/>
      <c r="AS31" s="39"/>
      <c r="AT31" s="39"/>
      <c r="AU31" s="42">
        <f t="shared" si="5"/>
        <v>0</v>
      </c>
      <c r="AV31" s="39"/>
      <c r="AW31" s="39"/>
      <c r="AX31" s="39"/>
      <c r="AY31" s="44"/>
      <c r="AZ31" s="44"/>
      <c r="BA31" s="42">
        <f t="shared" si="6"/>
        <v>0</v>
      </c>
      <c r="BB31" s="39"/>
      <c r="BC31" s="39"/>
      <c r="BD31" s="39"/>
      <c r="BE31" s="39"/>
      <c r="BF31" s="42">
        <f t="shared" si="10"/>
        <v>0</v>
      </c>
      <c r="BG31" s="39"/>
      <c r="BH31" s="45">
        <f t="shared" si="11"/>
        <v>0</v>
      </c>
      <c r="BI31" s="46">
        <f t="shared" si="12"/>
        <v>0</v>
      </c>
      <c r="BJ31" s="41"/>
    </row>
    <row r="32" spans="1:62" s="18" customFormat="1" ht="22.95" customHeight="1" x14ac:dyDescent="0.25">
      <c r="A32" s="23">
        <f t="shared" si="0"/>
        <v>28</v>
      </c>
      <c r="B32" s="19" t="s">
        <v>76</v>
      </c>
      <c r="C32" s="19" t="s">
        <v>55</v>
      </c>
      <c r="D32" s="42">
        <f t="shared" si="7"/>
        <v>0</v>
      </c>
      <c r="E32" s="39"/>
      <c r="F32" s="39"/>
      <c r="G32" s="39"/>
      <c r="H32" s="39"/>
      <c r="I32" s="39"/>
      <c r="J32" s="39"/>
      <c r="K32" s="42">
        <f t="shared" si="8"/>
        <v>0</v>
      </c>
      <c r="L32" s="39"/>
      <c r="M32" s="42">
        <f t="shared" si="1"/>
        <v>0</v>
      </c>
      <c r="N32" s="39"/>
      <c r="O32" s="39"/>
      <c r="P32" s="39"/>
      <c r="Q32" s="39"/>
      <c r="R32" s="42">
        <f t="shared" si="2"/>
        <v>0</v>
      </c>
      <c r="S32" s="39"/>
      <c r="T32" s="42">
        <f t="shared" si="3"/>
        <v>0</v>
      </c>
      <c r="U32" s="47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42">
        <f t="shared" si="9"/>
        <v>0</v>
      </c>
      <c r="AL32" s="47"/>
      <c r="AM32" s="44"/>
      <c r="AN32" s="39"/>
      <c r="AO32" s="39"/>
      <c r="AP32" s="39"/>
      <c r="AQ32" s="42">
        <f t="shared" si="13"/>
        <v>0</v>
      </c>
      <c r="AR32" s="39"/>
      <c r="AS32" s="39"/>
      <c r="AT32" s="39"/>
      <c r="AU32" s="42">
        <f t="shared" si="5"/>
        <v>0</v>
      </c>
      <c r="AV32" s="39"/>
      <c r="AW32" s="39"/>
      <c r="AX32" s="39"/>
      <c r="AY32" s="44"/>
      <c r="AZ32" s="39"/>
      <c r="BA32" s="42">
        <f t="shared" si="6"/>
        <v>0</v>
      </c>
      <c r="BB32" s="39"/>
      <c r="BC32" s="39"/>
      <c r="BD32" s="39"/>
      <c r="BE32" s="39"/>
      <c r="BF32" s="42">
        <f t="shared" si="10"/>
        <v>0</v>
      </c>
      <c r="BG32" s="39"/>
      <c r="BH32" s="45">
        <f t="shared" si="11"/>
        <v>0</v>
      </c>
      <c r="BI32" s="46">
        <f t="shared" si="12"/>
        <v>0</v>
      </c>
      <c r="BJ32" s="36"/>
    </row>
    <row r="33" spans="1:62" s="18" customFormat="1" ht="22.95" customHeight="1" x14ac:dyDescent="0.25">
      <c r="A33" s="23">
        <f t="shared" si="0"/>
        <v>29</v>
      </c>
      <c r="B33" s="19" t="s">
        <v>77</v>
      </c>
      <c r="C33" s="19" t="s">
        <v>43</v>
      </c>
      <c r="D33" s="42">
        <f t="shared" si="7"/>
        <v>0</v>
      </c>
      <c r="E33" s="39"/>
      <c r="F33" s="39"/>
      <c r="G33" s="39"/>
      <c r="H33" s="39"/>
      <c r="I33" s="39"/>
      <c r="J33" s="39"/>
      <c r="K33" s="42">
        <f t="shared" si="8"/>
        <v>0</v>
      </c>
      <c r="L33" s="39"/>
      <c r="M33" s="42">
        <f t="shared" si="1"/>
        <v>0</v>
      </c>
      <c r="N33" s="39"/>
      <c r="O33" s="39"/>
      <c r="P33" s="39"/>
      <c r="Q33" s="39"/>
      <c r="R33" s="42">
        <f t="shared" si="2"/>
        <v>0</v>
      </c>
      <c r="S33" s="39"/>
      <c r="T33" s="42">
        <f t="shared" si="3"/>
        <v>0</v>
      </c>
      <c r="U33" s="47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42">
        <f t="shared" si="9"/>
        <v>0</v>
      </c>
      <c r="AL33" s="47"/>
      <c r="AM33" s="44"/>
      <c r="AN33" s="39"/>
      <c r="AO33" s="39"/>
      <c r="AP33" s="39"/>
      <c r="AQ33" s="42">
        <f t="shared" si="13"/>
        <v>0</v>
      </c>
      <c r="AR33" s="39"/>
      <c r="AS33" s="39"/>
      <c r="AT33" s="39"/>
      <c r="AU33" s="42">
        <f t="shared" si="5"/>
        <v>0</v>
      </c>
      <c r="AV33" s="39"/>
      <c r="AW33" s="39"/>
      <c r="AX33" s="39"/>
      <c r="AY33" s="44"/>
      <c r="AZ33" s="39"/>
      <c r="BA33" s="42">
        <f t="shared" si="6"/>
        <v>0</v>
      </c>
      <c r="BB33" s="39"/>
      <c r="BC33" s="39"/>
      <c r="BD33" s="39"/>
      <c r="BE33" s="39"/>
      <c r="BF33" s="42">
        <f t="shared" si="10"/>
        <v>0</v>
      </c>
      <c r="BG33" s="39"/>
      <c r="BH33" s="45">
        <f t="shared" si="11"/>
        <v>0</v>
      </c>
      <c r="BI33" s="46">
        <f t="shared" si="12"/>
        <v>0</v>
      </c>
      <c r="BJ33" s="36"/>
    </row>
    <row r="34" spans="1:62" s="18" customFormat="1" ht="22.95" customHeight="1" x14ac:dyDescent="0.25">
      <c r="A34" s="23">
        <f t="shared" si="0"/>
        <v>30</v>
      </c>
      <c r="B34" s="19" t="s">
        <v>78</v>
      </c>
      <c r="C34" s="19" t="s">
        <v>45</v>
      </c>
      <c r="D34" s="42">
        <f t="shared" si="7"/>
        <v>0</v>
      </c>
      <c r="E34" s="39"/>
      <c r="F34" s="39"/>
      <c r="G34" s="39"/>
      <c r="H34" s="39"/>
      <c r="I34" s="39"/>
      <c r="J34" s="39"/>
      <c r="K34" s="42">
        <f t="shared" si="8"/>
        <v>0</v>
      </c>
      <c r="L34" s="39"/>
      <c r="M34" s="42">
        <f t="shared" si="1"/>
        <v>0</v>
      </c>
      <c r="N34" s="39"/>
      <c r="O34" s="39"/>
      <c r="P34" s="39"/>
      <c r="Q34" s="39"/>
      <c r="R34" s="42">
        <f t="shared" si="2"/>
        <v>0</v>
      </c>
      <c r="S34" s="39"/>
      <c r="T34" s="42">
        <f t="shared" si="3"/>
        <v>0</v>
      </c>
      <c r="U34" s="47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42">
        <f t="shared" si="9"/>
        <v>0</v>
      </c>
      <c r="AL34" s="47"/>
      <c r="AM34" s="44"/>
      <c r="AN34" s="39"/>
      <c r="AO34" s="39"/>
      <c r="AP34" s="39"/>
      <c r="AQ34" s="42">
        <f t="shared" si="13"/>
        <v>0</v>
      </c>
      <c r="AR34" s="39"/>
      <c r="AS34" s="39"/>
      <c r="AT34" s="39"/>
      <c r="AU34" s="42">
        <f t="shared" si="5"/>
        <v>0</v>
      </c>
      <c r="AV34" s="39"/>
      <c r="AW34" s="39"/>
      <c r="AX34" s="39"/>
      <c r="AY34" s="44"/>
      <c r="AZ34" s="39"/>
      <c r="BA34" s="42">
        <f t="shared" si="6"/>
        <v>0</v>
      </c>
      <c r="BB34" s="39"/>
      <c r="BC34" s="39"/>
      <c r="BD34" s="39"/>
      <c r="BE34" s="39"/>
      <c r="BF34" s="42">
        <f t="shared" si="10"/>
        <v>0</v>
      </c>
      <c r="BG34" s="39"/>
      <c r="BH34" s="45">
        <f t="shared" si="11"/>
        <v>0</v>
      </c>
      <c r="BI34" s="46">
        <f t="shared" si="12"/>
        <v>0</v>
      </c>
      <c r="BJ34" s="36"/>
    </row>
    <row r="35" spans="1:62" s="18" customFormat="1" ht="22.95" customHeight="1" x14ac:dyDescent="0.25">
      <c r="A35" s="23">
        <f t="shared" si="0"/>
        <v>31</v>
      </c>
      <c r="B35" s="19"/>
      <c r="C35" s="19"/>
      <c r="D35" s="42">
        <f t="shared" si="7"/>
        <v>0</v>
      </c>
      <c r="E35" s="39"/>
      <c r="F35" s="39"/>
      <c r="G35" s="39"/>
      <c r="H35" s="39"/>
      <c r="I35" s="39"/>
      <c r="J35" s="39"/>
      <c r="K35" s="42">
        <f t="shared" si="8"/>
        <v>0</v>
      </c>
      <c r="L35" s="39"/>
      <c r="M35" s="42">
        <f t="shared" si="1"/>
        <v>0</v>
      </c>
      <c r="N35" s="39"/>
      <c r="O35" s="39"/>
      <c r="P35" s="39"/>
      <c r="Q35" s="39"/>
      <c r="R35" s="42">
        <f t="shared" si="2"/>
        <v>0</v>
      </c>
      <c r="S35" s="39"/>
      <c r="T35" s="42">
        <f t="shared" si="3"/>
        <v>0</v>
      </c>
      <c r="U35" s="47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42">
        <f t="shared" si="9"/>
        <v>0</v>
      </c>
      <c r="AL35" s="47"/>
      <c r="AM35" s="44"/>
      <c r="AN35" s="39"/>
      <c r="AO35" s="39"/>
      <c r="AP35" s="39"/>
      <c r="AQ35" s="42">
        <f t="shared" si="13"/>
        <v>0</v>
      </c>
      <c r="AR35" s="39"/>
      <c r="AS35" s="39"/>
      <c r="AT35" s="39"/>
      <c r="AU35" s="42">
        <f t="shared" si="5"/>
        <v>0</v>
      </c>
      <c r="AV35" s="39"/>
      <c r="AW35" s="39"/>
      <c r="AX35" s="39"/>
      <c r="AY35" s="44"/>
      <c r="AZ35" s="39"/>
      <c r="BA35" s="42">
        <f t="shared" si="6"/>
        <v>0</v>
      </c>
      <c r="BB35" s="39"/>
      <c r="BC35" s="39"/>
      <c r="BD35" s="39"/>
      <c r="BE35" s="39"/>
      <c r="BF35" s="42">
        <f t="shared" si="10"/>
        <v>0</v>
      </c>
      <c r="BG35" s="39"/>
      <c r="BH35" s="45">
        <f t="shared" si="11"/>
        <v>0</v>
      </c>
      <c r="BI35" s="46">
        <f t="shared" si="12"/>
        <v>0</v>
      </c>
      <c r="BJ35" s="36"/>
    </row>
    <row r="36" spans="1:62" s="18" customFormat="1" ht="22.95" customHeight="1" x14ac:dyDescent="0.25">
      <c r="A36" s="23">
        <f t="shared" si="0"/>
        <v>32</v>
      </c>
      <c r="B36" s="23" t="s">
        <v>79</v>
      </c>
      <c r="C36" s="36"/>
      <c r="D36" s="50">
        <f t="shared" ref="D36:BI36" si="14">SUM(D5:D35)</f>
        <v>0</v>
      </c>
      <c r="E36" s="50">
        <f t="shared" si="14"/>
        <v>0</v>
      </c>
      <c r="F36" s="50">
        <f t="shared" si="14"/>
        <v>0</v>
      </c>
      <c r="G36" s="50">
        <f t="shared" si="14"/>
        <v>0</v>
      </c>
      <c r="H36" s="50">
        <f t="shared" si="14"/>
        <v>0</v>
      </c>
      <c r="I36" s="50">
        <f t="shared" si="14"/>
        <v>0</v>
      </c>
      <c r="J36" s="50">
        <f t="shared" si="14"/>
        <v>0</v>
      </c>
      <c r="K36" s="50">
        <f t="shared" si="14"/>
        <v>0</v>
      </c>
      <c r="L36" s="50">
        <f t="shared" si="14"/>
        <v>0</v>
      </c>
      <c r="M36" s="50">
        <f t="shared" si="14"/>
        <v>0</v>
      </c>
      <c r="N36" s="50">
        <f t="shared" si="14"/>
        <v>0</v>
      </c>
      <c r="O36" s="50">
        <f t="shared" si="14"/>
        <v>0</v>
      </c>
      <c r="P36" s="50">
        <f t="shared" si="14"/>
        <v>0</v>
      </c>
      <c r="Q36" s="50">
        <f t="shared" si="14"/>
        <v>0</v>
      </c>
      <c r="R36" s="50">
        <f t="shared" si="14"/>
        <v>0</v>
      </c>
      <c r="S36" s="50">
        <f t="shared" si="14"/>
        <v>0</v>
      </c>
      <c r="T36" s="50">
        <f t="shared" si="14"/>
        <v>0</v>
      </c>
      <c r="U36" s="50">
        <f t="shared" si="14"/>
        <v>0</v>
      </c>
      <c r="V36" s="50">
        <f t="shared" si="14"/>
        <v>0</v>
      </c>
      <c r="W36" s="50">
        <f t="shared" si="14"/>
        <v>0</v>
      </c>
      <c r="X36" s="50">
        <f t="shared" si="14"/>
        <v>0</v>
      </c>
      <c r="Y36" s="50">
        <f t="shared" si="14"/>
        <v>0</v>
      </c>
      <c r="Z36" s="50">
        <f t="shared" si="14"/>
        <v>0</v>
      </c>
      <c r="AA36" s="50">
        <f t="shared" si="14"/>
        <v>0</v>
      </c>
      <c r="AB36" s="50">
        <f t="shared" si="14"/>
        <v>0</v>
      </c>
      <c r="AC36" s="50">
        <f t="shared" si="14"/>
        <v>0</v>
      </c>
      <c r="AD36" s="50">
        <f t="shared" si="14"/>
        <v>0</v>
      </c>
      <c r="AE36" s="50">
        <f t="shared" si="14"/>
        <v>0</v>
      </c>
      <c r="AF36" s="50">
        <f t="shared" si="14"/>
        <v>0</v>
      </c>
      <c r="AG36" s="50">
        <f t="shared" si="14"/>
        <v>0</v>
      </c>
      <c r="AH36" s="50">
        <f t="shared" si="14"/>
        <v>0</v>
      </c>
      <c r="AI36" s="50">
        <f t="shared" si="14"/>
        <v>0</v>
      </c>
      <c r="AJ36" s="50">
        <f t="shared" si="14"/>
        <v>0</v>
      </c>
      <c r="AK36" s="50">
        <f t="shared" si="14"/>
        <v>0</v>
      </c>
      <c r="AL36" s="50">
        <f t="shared" si="14"/>
        <v>0</v>
      </c>
      <c r="AM36" s="50">
        <f t="shared" si="14"/>
        <v>0</v>
      </c>
      <c r="AN36" s="50">
        <f t="shared" si="14"/>
        <v>0</v>
      </c>
      <c r="AO36" s="50">
        <f t="shared" si="14"/>
        <v>0</v>
      </c>
      <c r="AP36" s="50">
        <f t="shared" si="14"/>
        <v>0</v>
      </c>
      <c r="AQ36" s="50">
        <f t="shared" si="14"/>
        <v>0</v>
      </c>
      <c r="AR36" s="50">
        <f t="shared" si="14"/>
        <v>0</v>
      </c>
      <c r="AS36" s="50">
        <f t="shared" si="14"/>
        <v>0</v>
      </c>
      <c r="AT36" s="50">
        <f t="shared" si="14"/>
        <v>0</v>
      </c>
      <c r="AU36" s="50">
        <f t="shared" si="14"/>
        <v>0</v>
      </c>
      <c r="AV36" s="50">
        <f t="shared" si="14"/>
        <v>0</v>
      </c>
      <c r="AW36" s="50">
        <f t="shared" si="14"/>
        <v>0</v>
      </c>
      <c r="AX36" s="50">
        <f t="shared" si="14"/>
        <v>0</v>
      </c>
      <c r="AY36" s="50">
        <f t="shared" si="14"/>
        <v>0</v>
      </c>
      <c r="AZ36" s="50">
        <f t="shared" si="14"/>
        <v>0</v>
      </c>
      <c r="BA36" s="50">
        <f t="shared" si="14"/>
        <v>0</v>
      </c>
      <c r="BB36" s="50">
        <f t="shared" si="14"/>
        <v>0</v>
      </c>
      <c r="BC36" s="50">
        <f t="shared" si="14"/>
        <v>0</v>
      </c>
      <c r="BD36" s="50">
        <f t="shared" si="14"/>
        <v>0</v>
      </c>
      <c r="BE36" s="50">
        <f t="shared" si="14"/>
        <v>0</v>
      </c>
      <c r="BF36" s="50">
        <f t="shared" si="14"/>
        <v>0</v>
      </c>
      <c r="BG36" s="50">
        <f t="shared" si="14"/>
        <v>0</v>
      </c>
      <c r="BH36" s="50">
        <f t="shared" si="14"/>
        <v>0</v>
      </c>
      <c r="BI36" s="50">
        <f t="shared" si="14"/>
        <v>0</v>
      </c>
      <c r="BJ36" s="36"/>
    </row>
    <row r="37" spans="1:62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0"/>
    </row>
    <row r="38" spans="1:62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1"/>
      <c r="BI38" s="21"/>
      <c r="BJ38" s="20"/>
    </row>
    <row r="39" spans="1:62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0"/>
    </row>
    <row r="40" spans="1:62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0"/>
    </row>
    <row r="41" spans="1:62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0"/>
    </row>
    <row r="42" spans="1:62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0"/>
    </row>
    <row r="43" spans="1:62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0"/>
    </row>
    <row r="44" spans="1:62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0"/>
    </row>
    <row r="45" spans="1:62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0"/>
    </row>
    <row r="46" spans="1:62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0"/>
    </row>
    <row r="47" spans="1:62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0"/>
    </row>
    <row r="48" spans="1:62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0"/>
    </row>
    <row r="49" spans="1:62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0"/>
    </row>
    <row r="50" spans="1:62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0"/>
    </row>
    <row r="51" spans="1:62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0"/>
    </row>
    <row r="52" spans="1:62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0"/>
    </row>
    <row r="53" spans="1:62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0"/>
    </row>
    <row r="54" spans="1:62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0"/>
    </row>
    <row r="55" spans="1:62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0"/>
    </row>
    <row r="56" spans="1:62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0"/>
    </row>
    <row r="57" spans="1:62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0"/>
    </row>
    <row r="58" spans="1:62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0"/>
    </row>
    <row r="59" spans="1:62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0"/>
    </row>
    <row r="60" spans="1:62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0"/>
    </row>
    <row r="61" spans="1:62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0"/>
    </row>
    <row r="62" spans="1:62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0"/>
    </row>
    <row r="63" spans="1:62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0"/>
    </row>
    <row r="64" spans="1:62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0"/>
    </row>
    <row r="65" spans="1:62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0"/>
    </row>
    <row r="66" spans="1:62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0"/>
    </row>
    <row r="67" spans="1:62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0"/>
    </row>
    <row r="68" spans="1:62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0"/>
    </row>
    <row r="69" spans="1:62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0"/>
    </row>
    <row r="70" spans="1:62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0"/>
    </row>
    <row r="71" spans="1:62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0"/>
    </row>
    <row r="72" spans="1:62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0"/>
    </row>
    <row r="73" spans="1:62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0"/>
    </row>
    <row r="74" spans="1:62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0"/>
    </row>
    <row r="75" spans="1:62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0"/>
    </row>
    <row r="76" spans="1:62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0"/>
    </row>
    <row r="77" spans="1:62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0"/>
    </row>
    <row r="78" spans="1:62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0"/>
    </row>
    <row r="79" spans="1:62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0"/>
    </row>
    <row r="80" spans="1:62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1"/>
      <c r="BI80" s="21"/>
      <c r="BJ80" s="20"/>
    </row>
    <row r="81" spans="1:62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0"/>
    </row>
    <row r="82" spans="1:62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0"/>
    </row>
    <row r="83" spans="1:62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0"/>
    </row>
    <row r="84" spans="1:62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0"/>
    </row>
    <row r="85" spans="1:62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0"/>
    </row>
    <row r="86" spans="1:62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0"/>
    </row>
    <row r="87" spans="1:62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0"/>
    </row>
    <row r="88" spans="1:62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0"/>
    </row>
    <row r="89" spans="1:62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0"/>
    </row>
    <row r="90" spans="1:62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1"/>
      <c r="BI90" s="21"/>
      <c r="BJ90" s="20"/>
    </row>
    <row r="91" spans="1:62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1"/>
      <c r="BI91" s="21"/>
      <c r="BJ91" s="20"/>
    </row>
    <row r="92" spans="1:62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1"/>
      <c r="BI92" s="21"/>
      <c r="BJ92" s="20"/>
    </row>
    <row r="93" spans="1:62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1"/>
      <c r="BI93" s="21"/>
      <c r="BJ93" s="20"/>
    </row>
    <row r="94" spans="1:62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1"/>
      <c r="BI94" s="21"/>
      <c r="BJ94" s="20"/>
    </row>
    <row r="95" spans="1:62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1"/>
      <c r="BI95" s="21"/>
      <c r="BJ95" s="20"/>
    </row>
    <row r="96" spans="1:62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1"/>
      <c r="BI96" s="21"/>
      <c r="BJ96" s="20"/>
    </row>
    <row r="97" spans="1:62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1"/>
      <c r="BI97" s="21"/>
      <c r="BJ97" s="20"/>
    </row>
    <row r="98" spans="1:62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1"/>
      <c r="BI98" s="21"/>
      <c r="BJ98" s="20"/>
    </row>
    <row r="99" spans="1:62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1"/>
      <c r="BI99" s="21"/>
      <c r="BJ99" s="20"/>
    </row>
    <row r="100" spans="1:62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1"/>
      <c r="BI100" s="21"/>
      <c r="BJ100" s="20"/>
    </row>
    <row r="101" spans="1:62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1"/>
      <c r="BI101" s="21"/>
      <c r="BJ101" s="20"/>
    </row>
    <row r="102" spans="1:62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1"/>
      <c r="BI102" s="21"/>
      <c r="BJ102" s="20"/>
    </row>
    <row r="103" spans="1:62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1"/>
      <c r="BI103" s="21"/>
      <c r="BJ103" s="20"/>
    </row>
    <row r="104" spans="1:62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1"/>
      <c r="BI104" s="21"/>
      <c r="BJ104" s="20"/>
    </row>
    <row r="105" spans="1:62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1"/>
      <c r="BI105" s="21"/>
      <c r="BJ105" s="20"/>
    </row>
    <row r="106" spans="1:62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1"/>
      <c r="BI106" s="21"/>
      <c r="BJ106" s="20"/>
    </row>
    <row r="107" spans="1:62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1"/>
      <c r="BI107" s="21"/>
      <c r="BJ107" s="20"/>
    </row>
    <row r="108" spans="1:62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1"/>
      <c r="BI108" s="21"/>
      <c r="BJ108" s="20"/>
    </row>
    <row r="109" spans="1:62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1"/>
      <c r="BI109" s="21"/>
      <c r="BJ109" s="20"/>
    </row>
    <row r="110" spans="1:62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1"/>
      <c r="BI110" s="21"/>
      <c r="BJ110" s="20"/>
    </row>
    <row r="111" spans="1:62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1"/>
      <c r="BI111" s="21"/>
      <c r="BJ111" s="20"/>
    </row>
    <row r="112" spans="1:62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1"/>
      <c r="BI112" s="21"/>
      <c r="BJ112" s="20"/>
    </row>
    <row r="113" spans="1:62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1"/>
      <c r="BI113" s="21"/>
      <c r="BJ113" s="20"/>
    </row>
    <row r="114" spans="1:62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1"/>
      <c r="BI114" s="21"/>
      <c r="BJ114" s="20"/>
    </row>
    <row r="115" spans="1:62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1"/>
      <c r="BI115" s="21"/>
      <c r="BJ115" s="20"/>
    </row>
    <row r="116" spans="1:62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1"/>
      <c r="BI116" s="21"/>
      <c r="BJ116" s="20"/>
    </row>
    <row r="117" spans="1:62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1"/>
      <c r="BI117" s="21"/>
      <c r="BJ117" s="20"/>
    </row>
    <row r="118" spans="1:62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1"/>
      <c r="BI118" s="21"/>
      <c r="BJ118" s="20"/>
    </row>
    <row r="119" spans="1:62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1"/>
      <c r="BI119" s="21"/>
      <c r="BJ119" s="20"/>
    </row>
    <row r="120" spans="1:62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1"/>
      <c r="BI120" s="21"/>
      <c r="BJ120" s="20"/>
    </row>
    <row r="121" spans="1:62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1"/>
      <c r="BI121" s="21"/>
      <c r="BJ121" s="20"/>
    </row>
    <row r="122" spans="1:62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1"/>
      <c r="BI122" s="21"/>
      <c r="BJ122" s="20"/>
    </row>
    <row r="123" spans="1:62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1"/>
      <c r="BI123" s="21"/>
      <c r="BJ123" s="20"/>
    </row>
    <row r="124" spans="1:62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1"/>
      <c r="BI124" s="21"/>
      <c r="BJ124" s="20"/>
    </row>
    <row r="125" spans="1:62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1"/>
      <c r="BI125" s="21"/>
      <c r="BJ125" s="20"/>
    </row>
    <row r="126" spans="1:62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1"/>
      <c r="BI126" s="21"/>
      <c r="BJ126" s="20"/>
    </row>
    <row r="127" spans="1:62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1"/>
      <c r="BI127" s="21"/>
      <c r="BJ127" s="20"/>
    </row>
    <row r="128" spans="1:62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1"/>
      <c r="BI128" s="21"/>
      <c r="BJ128" s="20"/>
    </row>
    <row r="129" spans="1:62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1"/>
      <c r="BI129" s="21"/>
      <c r="BJ129" s="20"/>
    </row>
    <row r="130" spans="1:62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1"/>
      <c r="BI130" s="21"/>
      <c r="BJ130" s="20"/>
    </row>
    <row r="131" spans="1:62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1"/>
      <c r="BI131" s="21"/>
      <c r="BJ131" s="20"/>
    </row>
    <row r="132" spans="1:62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1"/>
      <c r="BI132" s="21"/>
      <c r="BJ132" s="20"/>
    </row>
    <row r="133" spans="1:62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1"/>
      <c r="BI133" s="21"/>
      <c r="BJ133" s="20"/>
    </row>
    <row r="134" spans="1:62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1"/>
      <c r="BI134" s="21"/>
      <c r="BJ134" s="20"/>
    </row>
    <row r="135" spans="1:62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1"/>
      <c r="BI135" s="21"/>
      <c r="BJ135" s="20"/>
    </row>
    <row r="136" spans="1:62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1"/>
      <c r="BI136" s="21"/>
      <c r="BJ136" s="20"/>
    </row>
    <row r="137" spans="1:62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1"/>
      <c r="BI137" s="21"/>
      <c r="BJ137" s="20"/>
    </row>
    <row r="138" spans="1:62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1"/>
      <c r="BI138" s="21"/>
      <c r="BJ138" s="20"/>
    </row>
    <row r="139" spans="1:62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1"/>
      <c r="BI139" s="21"/>
      <c r="BJ139" s="20"/>
    </row>
    <row r="140" spans="1:62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1"/>
      <c r="BI140" s="21"/>
      <c r="BJ140" s="20"/>
    </row>
    <row r="141" spans="1:62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1"/>
      <c r="BI141" s="21"/>
      <c r="BJ141" s="20"/>
    </row>
    <row r="142" spans="1:62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1"/>
      <c r="BI142" s="21"/>
      <c r="BJ142" s="20"/>
    </row>
    <row r="143" spans="1:62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1"/>
      <c r="BI143" s="21"/>
      <c r="BJ143" s="20"/>
    </row>
    <row r="144" spans="1:62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1"/>
      <c r="BI144" s="21"/>
      <c r="BJ144" s="20"/>
    </row>
    <row r="145" spans="1:62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1"/>
      <c r="BI145" s="21"/>
      <c r="BJ145" s="20"/>
    </row>
    <row r="146" spans="1:62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1"/>
      <c r="BI146" s="21"/>
      <c r="BJ146" s="20"/>
    </row>
    <row r="147" spans="1:62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1"/>
      <c r="BI147" s="21"/>
      <c r="BJ147" s="20"/>
    </row>
    <row r="148" spans="1:62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1"/>
      <c r="BI148" s="21"/>
      <c r="BJ148" s="20"/>
    </row>
    <row r="149" spans="1:62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1"/>
      <c r="BI149" s="21"/>
      <c r="BJ149" s="20"/>
    </row>
    <row r="150" spans="1:62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1"/>
      <c r="BI150" s="21"/>
      <c r="BJ150" s="20"/>
    </row>
    <row r="151" spans="1:62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1"/>
      <c r="BI151" s="21"/>
      <c r="BJ151" s="20"/>
    </row>
    <row r="152" spans="1:62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1"/>
      <c r="BI152" s="21"/>
      <c r="BJ152" s="20"/>
    </row>
    <row r="153" spans="1:62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1"/>
      <c r="BI153" s="21"/>
      <c r="BJ153" s="20"/>
    </row>
    <row r="154" spans="1:62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1"/>
      <c r="BI154" s="21"/>
      <c r="BJ154" s="20"/>
    </row>
    <row r="155" spans="1:62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1"/>
      <c r="BI155" s="21"/>
      <c r="BJ155" s="20"/>
    </row>
    <row r="156" spans="1:62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1"/>
      <c r="BI156" s="21"/>
      <c r="BJ156" s="20"/>
    </row>
    <row r="157" spans="1:62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1"/>
      <c r="BI157" s="21"/>
      <c r="BJ157" s="20"/>
    </row>
    <row r="158" spans="1:62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1"/>
      <c r="BI158" s="21"/>
      <c r="BJ158" s="20"/>
    </row>
    <row r="159" spans="1:62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1"/>
      <c r="BI159" s="21"/>
      <c r="BJ159" s="20"/>
    </row>
    <row r="160" spans="1:62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1"/>
      <c r="BI160" s="21"/>
      <c r="BJ160" s="20"/>
    </row>
    <row r="161" spans="1:62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1"/>
      <c r="BI161" s="21"/>
      <c r="BJ161" s="20"/>
    </row>
    <row r="162" spans="1:62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1"/>
      <c r="BI162" s="21"/>
      <c r="BJ162" s="20"/>
    </row>
    <row r="163" spans="1:62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1"/>
      <c r="BI163" s="21"/>
      <c r="BJ163" s="20"/>
    </row>
    <row r="164" spans="1:62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1"/>
      <c r="BI164" s="21"/>
      <c r="BJ164" s="20"/>
    </row>
    <row r="165" spans="1:62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1"/>
      <c r="BI165" s="21"/>
      <c r="BJ165" s="20"/>
    </row>
    <row r="166" spans="1:62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1"/>
      <c r="BI166" s="21"/>
      <c r="BJ166" s="20"/>
    </row>
    <row r="167" spans="1:62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1"/>
      <c r="BI167" s="21"/>
      <c r="BJ167" s="20"/>
    </row>
    <row r="168" spans="1:62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1"/>
      <c r="BI168" s="21"/>
      <c r="BJ168" s="20"/>
    </row>
    <row r="169" spans="1:62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1"/>
      <c r="BI169" s="21"/>
      <c r="BJ169" s="20"/>
    </row>
    <row r="170" spans="1:62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1"/>
      <c r="BI170" s="21"/>
      <c r="BJ170" s="20"/>
    </row>
    <row r="171" spans="1:62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1"/>
      <c r="BI171" s="21"/>
      <c r="BJ171" s="20"/>
    </row>
    <row r="172" spans="1:62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1"/>
      <c r="BI172" s="21"/>
      <c r="BJ172" s="20"/>
    </row>
    <row r="173" spans="1:62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1"/>
      <c r="BI173" s="21"/>
      <c r="BJ173" s="20"/>
    </row>
    <row r="174" spans="1:62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1"/>
      <c r="BI174" s="21"/>
      <c r="BJ174" s="20"/>
    </row>
    <row r="175" spans="1:62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1"/>
      <c r="BI175" s="21"/>
      <c r="BJ175" s="20"/>
    </row>
    <row r="176" spans="1:62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1"/>
      <c r="BI176" s="21"/>
      <c r="BJ176" s="20"/>
    </row>
    <row r="177" spans="1:62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1"/>
      <c r="BI177" s="21"/>
      <c r="BJ177" s="20"/>
    </row>
    <row r="178" spans="1:62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1"/>
      <c r="BI178" s="21"/>
      <c r="BJ178" s="20"/>
    </row>
    <row r="179" spans="1:62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1"/>
      <c r="BI179" s="21"/>
      <c r="BJ179" s="20"/>
    </row>
    <row r="180" spans="1:62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1"/>
      <c r="BI180" s="21"/>
      <c r="BJ180" s="20"/>
    </row>
    <row r="181" spans="1:62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1"/>
      <c r="BI181" s="21"/>
      <c r="BJ181" s="20"/>
    </row>
    <row r="182" spans="1:62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1"/>
      <c r="BI182" s="21"/>
      <c r="BJ182" s="20"/>
    </row>
    <row r="183" spans="1:62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1"/>
      <c r="BI183" s="21"/>
      <c r="BJ183" s="20"/>
    </row>
    <row r="184" spans="1:62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1"/>
      <c r="BI184" s="21"/>
      <c r="BJ184" s="20"/>
    </row>
    <row r="185" spans="1:62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1"/>
      <c r="BI185" s="21"/>
      <c r="BJ185" s="20"/>
    </row>
    <row r="186" spans="1:62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1"/>
      <c r="BI186" s="21"/>
      <c r="BJ186" s="20"/>
    </row>
    <row r="187" spans="1:62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1"/>
      <c r="BI187" s="21"/>
      <c r="BJ187" s="20"/>
    </row>
    <row r="188" spans="1:62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1"/>
      <c r="BI188" s="21"/>
      <c r="BJ188" s="20"/>
    </row>
    <row r="189" spans="1:62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1"/>
      <c r="BI189" s="21"/>
      <c r="BJ189" s="20"/>
    </row>
    <row r="190" spans="1:62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1"/>
      <c r="BI190" s="21"/>
      <c r="BJ190" s="20"/>
    </row>
    <row r="191" spans="1:62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1"/>
      <c r="BI191" s="21"/>
      <c r="BJ191" s="20"/>
    </row>
    <row r="192" spans="1:62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1"/>
      <c r="BI192" s="21"/>
      <c r="BJ192" s="20"/>
    </row>
    <row r="193" spans="1:62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1"/>
      <c r="BI193" s="21"/>
      <c r="BJ193" s="20"/>
    </row>
    <row r="194" spans="1:62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1"/>
      <c r="BI194" s="21"/>
      <c r="BJ194" s="20"/>
    </row>
    <row r="195" spans="1:62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1"/>
      <c r="BI195" s="21"/>
      <c r="BJ195" s="20"/>
    </row>
    <row r="196" spans="1:62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1"/>
      <c r="BI196" s="21"/>
      <c r="BJ196" s="20"/>
    </row>
    <row r="197" spans="1:62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1"/>
      <c r="BI197" s="21"/>
      <c r="BJ197" s="20"/>
    </row>
    <row r="198" spans="1:62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1"/>
      <c r="BI198" s="21"/>
      <c r="BJ198" s="20"/>
    </row>
    <row r="199" spans="1:62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1"/>
      <c r="BI199" s="21"/>
      <c r="BJ199" s="20"/>
    </row>
  </sheetData>
  <mergeCells count="28">
    <mergeCell ref="A1:BJ1"/>
    <mergeCell ref="I2:AA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  <mergeCell ref="AC3:AC4"/>
    <mergeCell ref="BH2:BH4"/>
    <mergeCell ref="BI2:BI4"/>
    <mergeCell ref="BJ2:BJ4"/>
    <mergeCell ref="B2:C4"/>
    <mergeCell ref="G2:G4"/>
    <mergeCell ref="W3:W4"/>
    <mergeCell ref="Y3:Y4"/>
    <mergeCell ref="Z3:Z4"/>
    <mergeCell ref="AA3:AA4"/>
    <mergeCell ref="AB3:AB4"/>
    <mergeCell ref="BC3:BG3"/>
    <mergeCell ref="AD2:BG2"/>
  </mergeCells>
  <phoneticPr fontId="2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65" t="s">
        <v>80</v>
      </c>
      <c r="B1" s="65"/>
      <c r="C1" s="65"/>
      <c r="D1" s="65"/>
      <c r="E1" s="65"/>
      <c r="F1" s="65"/>
      <c r="G1" s="65"/>
      <c r="H1" s="65"/>
      <c r="I1" s="65"/>
    </row>
    <row r="2" spans="1:9" s="2" customFormat="1" ht="25.05" customHeight="1" x14ac:dyDescent="0.25">
      <c r="A2" s="66" t="s">
        <v>1</v>
      </c>
      <c r="B2" s="66"/>
      <c r="C2" s="3" t="s">
        <v>81</v>
      </c>
      <c r="D2" s="4" t="s">
        <v>3</v>
      </c>
      <c r="E2" s="4" t="s">
        <v>2</v>
      </c>
      <c r="F2" s="4" t="s">
        <v>82</v>
      </c>
      <c r="G2" s="4" t="s">
        <v>83</v>
      </c>
      <c r="H2" s="4" t="s">
        <v>84</v>
      </c>
      <c r="I2" s="3" t="s">
        <v>8</v>
      </c>
    </row>
    <row r="3" spans="1:9" ht="19.95" customHeight="1" x14ac:dyDescent="0.25">
      <c r="A3" s="5" t="s">
        <v>42</v>
      </c>
      <c r="B3" s="6" t="s">
        <v>43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44</v>
      </c>
      <c r="B4" s="6" t="s">
        <v>45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46</v>
      </c>
      <c r="B5" s="6" t="s">
        <v>47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48</v>
      </c>
      <c r="B6" s="6" t="s">
        <v>49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50</v>
      </c>
      <c r="B7" s="6" t="s">
        <v>51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52</v>
      </c>
      <c r="B8" s="6" t="s">
        <v>53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54</v>
      </c>
      <c r="B9" s="6" t="s">
        <v>55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56</v>
      </c>
      <c r="B10" s="6" t="s">
        <v>43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57</v>
      </c>
      <c r="B11" s="6" t="s">
        <v>45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58</v>
      </c>
      <c r="B12" s="6" t="s">
        <v>47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59</v>
      </c>
      <c r="B13" s="6" t="s">
        <v>49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60</v>
      </c>
      <c r="B14" s="6" t="s">
        <v>51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61</v>
      </c>
      <c r="B15" s="6" t="s">
        <v>53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62</v>
      </c>
      <c r="B16" s="6" t="s">
        <v>55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63</v>
      </c>
      <c r="B17" s="6" t="s">
        <v>43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64</v>
      </c>
      <c r="B18" s="6" t="s">
        <v>45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65</v>
      </c>
      <c r="B19" s="6" t="s">
        <v>47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66</v>
      </c>
      <c r="B20" s="6" t="s">
        <v>49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67</v>
      </c>
      <c r="B21" s="6" t="s">
        <v>51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68</v>
      </c>
      <c r="B22" s="6" t="s">
        <v>53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69</v>
      </c>
      <c r="B23" s="6" t="s">
        <v>55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70</v>
      </c>
      <c r="B24" s="6" t="s">
        <v>43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71</v>
      </c>
      <c r="B25" s="6" t="s">
        <v>45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72</v>
      </c>
      <c r="B26" s="6" t="s">
        <v>47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73</v>
      </c>
      <c r="B27" s="6" t="s">
        <v>49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74</v>
      </c>
      <c r="B28" s="6" t="s">
        <v>51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75</v>
      </c>
      <c r="B29" s="6" t="s">
        <v>53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76</v>
      </c>
      <c r="B30" s="6" t="s">
        <v>55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77</v>
      </c>
      <c r="B31" s="6" t="s">
        <v>43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78</v>
      </c>
      <c r="B32" s="6" t="s">
        <v>45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67" t="s">
        <v>85</v>
      </c>
      <c r="B34" s="67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2026-06-15T07:19:26Z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