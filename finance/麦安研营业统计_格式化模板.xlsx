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Users\Wadec\Documents\projects\mainyan-auto\finance\"/>
    </mc:Choice>
  </mc:AlternateContent>
  <xr:revisionPtr revIDLastSave="0" documentId="13_ncr:1_{C84442FE-F465-4039-B81D-7ECD85DD8B8D}" xr6:coauthVersionLast="47" xr6:coauthVersionMax="47" xr10:uidLastSave="{00000000-0000-0000-0000-000000000000}"/>
  <bookViews>
    <workbookView xWindow="30612" yWindow="-108" windowWidth="30936" windowHeight="16776" xr2:uid="{00000000-000D-0000-FFFF-FFFF00000000}"/>
  </bookViews>
  <sheets>
    <sheet name="2026年6月东方宝泰店营业额明细统计表" sheetId="1" r:id="rId1"/>
    <sheet name="2026年6月东方宝泰店营业现金登记表" sheetId="2" r:id="rId2"/>
  </sheets>
  <calcPr calcId="191029"/>
</workbook>
</file>

<file path=xl/calcChain.xml><?xml version="1.0" encoding="utf-8"?>
<calcChain xmlns="http://schemas.openxmlformats.org/spreadsheetml/2006/main">
  <c r="AK6" i="1" l="1"/>
  <c r="AK7" i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5" i="1"/>
  <c r="K10" i="1"/>
  <c r="H34" i="2"/>
  <c r="G34" i="2"/>
  <c r="F34" i="2"/>
  <c r="E34" i="2"/>
  <c r="D34" i="2"/>
  <c r="H33" i="2"/>
  <c r="F33" i="2"/>
  <c r="H32" i="2"/>
  <c r="F32" i="2"/>
  <c r="H31" i="2"/>
  <c r="F31" i="2"/>
  <c r="H30" i="2"/>
  <c r="F30" i="2"/>
  <c r="H29" i="2"/>
  <c r="F29" i="2"/>
  <c r="H28" i="2"/>
  <c r="F28" i="2"/>
  <c r="H27" i="2"/>
  <c r="F27" i="2"/>
  <c r="H26" i="2"/>
  <c r="F26" i="2"/>
  <c r="H25" i="2"/>
  <c r="F25" i="2"/>
  <c r="H24" i="2"/>
  <c r="F24" i="2"/>
  <c r="H23" i="2"/>
  <c r="F23" i="2"/>
  <c r="H22" i="2"/>
  <c r="F22" i="2"/>
  <c r="H21" i="2"/>
  <c r="F21" i="2"/>
  <c r="H20" i="2"/>
  <c r="F20" i="2"/>
  <c r="H19" i="2"/>
  <c r="F19" i="2"/>
  <c r="H18" i="2"/>
  <c r="F18" i="2"/>
  <c r="H17" i="2"/>
  <c r="F17" i="2"/>
  <c r="H16" i="2"/>
  <c r="F16" i="2"/>
  <c r="H15" i="2"/>
  <c r="F15" i="2"/>
  <c r="H14" i="2"/>
  <c r="F14" i="2"/>
  <c r="H13" i="2"/>
  <c r="F13" i="2"/>
  <c r="H12" i="2"/>
  <c r="F12" i="2"/>
  <c r="H11" i="2"/>
  <c r="F11" i="2"/>
  <c r="H10" i="2"/>
  <c r="F10" i="2"/>
  <c r="H9" i="2"/>
  <c r="F9" i="2"/>
  <c r="H8" i="2"/>
  <c r="F8" i="2"/>
  <c r="H7" i="2"/>
  <c r="F7" i="2"/>
  <c r="H6" i="2"/>
  <c r="F6" i="2"/>
  <c r="H5" i="2"/>
  <c r="F5" i="2"/>
  <c r="H4" i="2"/>
  <c r="F4" i="2"/>
  <c r="H3" i="2"/>
  <c r="F3" i="2"/>
  <c r="BB36" i="1"/>
  <c r="AZ36" i="1"/>
  <c r="AY36" i="1"/>
  <c r="AX36" i="1"/>
  <c r="AW36" i="1"/>
  <c r="AV36" i="1"/>
  <c r="AT36" i="1"/>
  <c r="AS36" i="1"/>
  <c r="AR36" i="1"/>
  <c r="AP36" i="1"/>
  <c r="AO36" i="1"/>
  <c r="AN36" i="1"/>
  <c r="AM36" i="1"/>
  <c r="AL36" i="1"/>
  <c r="AJ36" i="1"/>
  <c r="AI36" i="1"/>
  <c r="AH36" i="1"/>
  <c r="AG36" i="1"/>
  <c r="AF36" i="1"/>
  <c r="AD36" i="1"/>
  <c r="AC36" i="1"/>
  <c r="AB36" i="1"/>
  <c r="AA36" i="1"/>
  <c r="Z36" i="1"/>
  <c r="Y36" i="1"/>
  <c r="X36" i="1"/>
  <c r="W36" i="1"/>
  <c r="V36" i="1"/>
  <c r="U36" i="1"/>
  <c r="S36" i="1"/>
  <c r="Q36" i="1"/>
  <c r="P36" i="1"/>
  <c r="O36" i="1"/>
  <c r="N36" i="1"/>
  <c r="L36" i="1"/>
  <c r="J36" i="1"/>
  <c r="I36" i="1"/>
  <c r="H36" i="1"/>
  <c r="F36" i="1"/>
  <c r="E36" i="1"/>
  <c r="A36" i="1"/>
  <c r="BA35" i="1"/>
  <c r="AU35" i="1"/>
  <c r="AQ35" i="1"/>
  <c r="R35" i="1"/>
  <c r="T35" i="1" s="1"/>
  <c r="K35" i="1"/>
  <c r="M35" i="1" s="1"/>
  <c r="D35" i="1"/>
  <c r="A35" i="1"/>
  <c r="BA34" i="1"/>
  <c r="AU34" i="1"/>
  <c r="AQ34" i="1"/>
  <c r="R34" i="1"/>
  <c r="T34" i="1" s="1"/>
  <c r="K34" i="1"/>
  <c r="BD34" i="1" s="1"/>
  <c r="D34" i="1"/>
  <c r="A34" i="1"/>
  <c r="BD33" i="1"/>
  <c r="BA33" i="1"/>
  <c r="AU33" i="1"/>
  <c r="AQ33" i="1"/>
  <c r="R33" i="1"/>
  <c r="T33" i="1" s="1"/>
  <c r="K33" i="1"/>
  <c r="M33" i="1" s="1"/>
  <c r="D33" i="1"/>
  <c r="A33" i="1"/>
  <c r="BA32" i="1"/>
  <c r="AU32" i="1"/>
  <c r="AQ32" i="1"/>
  <c r="R32" i="1"/>
  <c r="K32" i="1"/>
  <c r="M32" i="1" s="1"/>
  <c r="D32" i="1"/>
  <c r="A32" i="1"/>
  <c r="BA31" i="1"/>
  <c r="AU31" i="1"/>
  <c r="AQ31" i="1"/>
  <c r="R31" i="1"/>
  <c r="T31" i="1" s="1"/>
  <c r="K31" i="1"/>
  <c r="M31" i="1" s="1"/>
  <c r="D31" i="1"/>
  <c r="A31" i="1"/>
  <c r="BA30" i="1"/>
  <c r="AU30" i="1"/>
  <c r="AQ30" i="1"/>
  <c r="R30" i="1"/>
  <c r="T30" i="1" s="1"/>
  <c r="K30" i="1"/>
  <c r="BD30" i="1" s="1"/>
  <c r="D30" i="1"/>
  <c r="A30" i="1"/>
  <c r="BD29" i="1"/>
  <c r="BA29" i="1"/>
  <c r="AU29" i="1"/>
  <c r="AQ29" i="1"/>
  <c r="R29" i="1"/>
  <c r="T29" i="1" s="1"/>
  <c r="K29" i="1"/>
  <c r="M29" i="1" s="1"/>
  <c r="D29" i="1"/>
  <c r="A29" i="1"/>
  <c r="BA28" i="1"/>
  <c r="AU28" i="1"/>
  <c r="AQ28" i="1"/>
  <c r="R28" i="1"/>
  <c r="T28" i="1" s="1"/>
  <c r="K28" i="1"/>
  <c r="M28" i="1" s="1"/>
  <c r="D28" i="1"/>
  <c r="A28" i="1"/>
  <c r="BA27" i="1"/>
  <c r="AU27" i="1"/>
  <c r="AQ27" i="1"/>
  <c r="R27" i="1"/>
  <c r="T27" i="1" s="1"/>
  <c r="K27" i="1"/>
  <c r="M27" i="1" s="1"/>
  <c r="D27" i="1"/>
  <c r="A27" i="1"/>
  <c r="BA26" i="1"/>
  <c r="AU26" i="1"/>
  <c r="AQ26" i="1"/>
  <c r="R26" i="1"/>
  <c r="T26" i="1" s="1"/>
  <c r="K26" i="1"/>
  <c r="D26" i="1"/>
  <c r="A26" i="1"/>
  <c r="BA25" i="1"/>
  <c r="AU25" i="1"/>
  <c r="AQ25" i="1"/>
  <c r="R25" i="1"/>
  <c r="T25" i="1" s="1"/>
  <c r="K25" i="1"/>
  <c r="M25" i="1" s="1"/>
  <c r="D25" i="1"/>
  <c r="A25" i="1"/>
  <c r="BA24" i="1"/>
  <c r="AU24" i="1"/>
  <c r="AQ24" i="1"/>
  <c r="R24" i="1"/>
  <c r="K24" i="1"/>
  <c r="M24" i="1" s="1"/>
  <c r="D24" i="1"/>
  <c r="A24" i="1"/>
  <c r="BA23" i="1"/>
  <c r="AU23" i="1"/>
  <c r="AQ23" i="1"/>
  <c r="R23" i="1"/>
  <c r="T23" i="1" s="1"/>
  <c r="K23" i="1"/>
  <c r="BD23" i="1" s="1"/>
  <c r="D23" i="1"/>
  <c r="A23" i="1"/>
  <c r="BA22" i="1"/>
  <c r="AU22" i="1"/>
  <c r="AQ22" i="1"/>
  <c r="R22" i="1"/>
  <c r="T22" i="1" s="1"/>
  <c r="K22" i="1"/>
  <c r="BD22" i="1" s="1"/>
  <c r="D22" i="1"/>
  <c r="A22" i="1"/>
  <c r="BA21" i="1"/>
  <c r="AU21" i="1"/>
  <c r="AQ21" i="1"/>
  <c r="R21" i="1"/>
  <c r="T21" i="1" s="1"/>
  <c r="K21" i="1"/>
  <c r="M21" i="1" s="1"/>
  <c r="D21" i="1"/>
  <c r="A21" i="1"/>
  <c r="BA20" i="1"/>
  <c r="AU20" i="1"/>
  <c r="AQ20" i="1"/>
  <c r="R20" i="1"/>
  <c r="K20" i="1"/>
  <c r="M20" i="1" s="1"/>
  <c r="D20" i="1"/>
  <c r="A20" i="1"/>
  <c r="BA19" i="1"/>
  <c r="AU19" i="1"/>
  <c r="AQ19" i="1"/>
  <c r="R19" i="1"/>
  <c r="T19" i="1" s="1"/>
  <c r="K19" i="1"/>
  <c r="M19" i="1" s="1"/>
  <c r="D19" i="1"/>
  <c r="A19" i="1"/>
  <c r="BA18" i="1"/>
  <c r="AU18" i="1"/>
  <c r="AQ18" i="1"/>
  <c r="R18" i="1"/>
  <c r="T18" i="1" s="1"/>
  <c r="K18" i="1"/>
  <c r="BD18" i="1" s="1"/>
  <c r="D18" i="1"/>
  <c r="A18" i="1"/>
  <c r="BA17" i="1"/>
  <c r="AU17" i="1"/>
  <c r="AQ17" i="1"/>
  <c r="R17" i="1"/>
  <c r="T17" i="1" s="1"/>
  <c r="K17" i="1"/>
  <c r="M17" i="1" s="1"/>
  <c r="D17" i="1"/>
  <c r="A17" i="1"/>
  <c r="BA16" i="1"/>
  <c r="AU16" i="1"/>
  <c r="AQ16" i="1"/>
  <c r="R16" i="1"/>
  <c r="K16" i="1"/>
  <c r="M16" i="1" s="1"/>
  <c r="D16" i="1"/>
  <c r="A16" i="1"/>
  <c r="BA15" i="1"/>
  <c r="AU15" i="1"/>
  <c r="AQ15" i="1"/>
  <c r="R15" i="1"/>
  <c r="T15" i="1" s="1"/>
  <c r="K15" i="1"/>
  <c r="M15" i="1" s="1"/>
  <c r="D15" i="1"/>
  <c r="A15" i="1"/>
  <c r="BA14" i="1"/>
  <c r="AU14" i="1"/>
  <c r="AQ14" i="1"/>
  <c r="R14" i="1"/>
  <c r="T14" i="1" s="1"/>
  <c r="K14" i="1"/>
  <c r="BD14" i="1" s="1"/>
  <c r="D14" i="1"/>
  <c r="A14" i="1"/>
  <c r="BA13" i="1"/>
  <c r="AU13" i="1"/>
  <c r="AQ13" i="1"/>
  <c r="R13" i="1"/>
  <c r="T13" i="1" s="1"/>
  <c r="K13" i="1"/>
  <c r="M13" i="1" s="1"/>
  <c r="D13" i="1"/>
  <c r="A13" i="1"/>
  <c r="BA12" i="1"/>
  <c r="AU12" i="1"/>
  <c r="AQ12" i="1"/>
  <c r="R12" i="1"/>
  <c r="T12" i="1" s="1"/>
  <c r="K12" i="1"/>
  <c r="M12" i="1" s="1"/>
  <c r="D12" i="1"/>
  <c r="A12" i="1"/>
  <c r="BA11" i="1"/>
  <c r="AU11" i="1"/>
  <c r="AQ11" i="1"/>
  <c r="R11" i="1"/>
  <c r="T11" i="1" s="1"/>
  <c r="K11" i="1"/>
  <c r="M11" i="1" s="1"/>
  <c r="D11" i="1"/>
  <c r="A11" i="1"/>
  <c r="BA10" i="1"/>
  <c r="AU10" i="1"/>
  <c r="AQ10" i="1"/>
  <c r="R10" i="1"/>
  <c r="T10" i="1" s="1"/>
  <c r="D10" i="1"/>
  <c r="A10" i="1"/>
  <c r="BA9" i="1"/>
  <c r="AU9" i="1"/>
  <c r="AQ9" i="1"/>
  <c r="R9" i="1"/>
  <c r="T9" i="1" s="1"/>
  <c r="K9" i="1"/>
  <c r="M9" i="1" s="1"/>
  <c r="D9" i="1"/>
  <c r="A9" i="1"/>
  <c r="BA8" i="1"/>
  <c r="AU8" i="1"/>
  <c r="AQ8" i="1"/>
  <c r="R8" i="1"/>
  <c r="K8" i="1"/>
  <c r="M8" i="1" s="1"/>
  <c r="D8" i="1"/>
  <c r="A8" i="1"/>
  <c r="BA7" i="1"/>
  <c r="AU7" i="1"/>
  <c r="AQ7" i="1"/>
  <c r="R7" i="1"/>
  <c r="T7" i="1" s="1"/>
  <c r="K7" i="1"/>
  <c r="D7" i="1"/>
  <c r="A7" i="1"/>
  <c r="BA6" i="1"/>
  <c r="AU6" i="1"/>
  <c r="AQ6" i="1"/>
  <c r="R6" i="1"/>
  <c r="K6" i="1"/>
  <c r="BD6" i="1" s="1"/>
  <c r="D6" i="1"/>
  <c r="A6" i="1"/>
  <c r="BA5" i="1"/>
  <c r="AU5" i="1"/>
  <c r="AQ5" i="1"/>
  <c r="R5" i="1"/>
  <c r="T5" i="1" s="1"/>
  <c r="K5" i="1"/>
  <c r="M5" i="1" s="1"/>
  <c r="D5" i="1"/>
  <c r="A5" i="1"/>
  <c r="BC11" i="1" l="1"/>
  <c r="BC27" i="1"/>
  <c r="BC28" i="1"/>
  <c r="BC12" i="1"/>
  <c r="BD24" i="1"/>
  <c r="AQ36" i="1"/>
  <c r="BD13" i="1"/>
  <c r="BD8" i="1"/>
  <c r="BD17" i="1"/>
  <c r="BD16" i="1"/>
  <c r="BC25" i="1"/>
  <c r="BD32" i="1"/>
  <c r="BD21" i="1"/>
  <c r="BD5" i="1"/>
  <c r="BC13" i="1"/>
  <c r="BD20" i="1"/>
  <c r="BC29" i="1"/>
  <c r="T20" i="1"/>
  <c r="BC20" i="1" s="1"/>
  <c r="BC15" i="1"/>
  <c r="BC31" i="1"/>
  <c r="R36" i="1"/>
  <c r="BD9" i="1"/>
  <c r="BD25" i="1"/>
  <c r="AK36" i="1"/>
  <c r="T16" i="1"/>
  <c r="BC16" i="1" s="1"/>
  <c r="T32" i="1"/>
  <c r="BC32" i="1" s="1"/>
  <c r="BA36" i="1"/>
  <c r="BC17" i="1"/>
  <c r="BC33" i="1"/>
  <c r="T24" i="1"/>
  <c r="BC24" i="1" s="1"/>
  <c r="BD10" i="1"/>
  <c r="BC19" i="1"/>
  <c r="BD26" i="1"/>
  <c r="BC35" i="1"/>
  <c r="K36" i="1"/>
  <c r="M23" i="1"/>
  <c r="BC23" i="1" s="1"/>
  <c r="BC9" i="1"/>
  <c r="AU36" i="1"/>
  <c r="T8" i="1"/>
  <c r="BC8" i="1" s="1"/>
  <c r="D36" i="1"/>
  <c r="BD12" i="1"/>
  <c r="BD28" i="1"/>
  <c r="BC5" i="1"/>
  <c r="BC21" i="1"/>
  <c r="M30" i="1"/>
  <c r="BC30" i="1" s="1"/>
  <c r="M34" i="1"/>
  <c r="BC34" i="1" s="1"/>
  <c r="BD7" i="1"/>
  <c r="BD11" i="1"/>
  <c r="BD15" i="1"/>
  <c r="BD19" i="1"/>
  <c r="BD27" i="1"/>
  <c r="BD31" i="1"/>
  <c r="M22" i="1"/>
  <c r="BC22" i="1" s="1"/>
  <c r="BD35" i="1"/>
  <c r="M7" i="1"/>
  <c r="BC7" i="1" s="1"/>
  <c r="T6" i="1"/>
  <c r="M6" i="1"/>
  <c r="BC6" i="1" s="1"/>
  <c r="M10" i="1"/>
  <c r="BC10" i="1" s="1"/>
  <c r="M14" i="1"/>
  <c r="BC14" i="1" s="1"/>
  <c r="M18" i="1"/>
  <c r="BC18" i="1" s="1"/>
  <c r="M26" i="1"/>
  <c r="BC26" i="1" s="1"/>
  <c r="T36" i="1" l="1"/>
  <c r="BD36" i="1"/>
  <c r="M36" i="1"/>
  <c r="BC36" i="1"/>
</calcChain>
</file>

<file path=xl/sharedStrings.xml><?xml version="1.0" encoding="utf-8"?>
<sst xmlns="http://schemas.openxmlformats.org/spreadsheetml/2006/main" count="198" uniqueCount="109">
  <si>
    <t>序号</t>
  </si>
  <si>
    <t>日期</t>
  </si>
  <si>
    <t>现金</t>
  </si>
  <si>
    <t>现金充值</t>
  </si>
  <si>
    <t>现金合计</t>
  </si>
  <si>
    <t>银豹收银系统后台收入</t>
  </si>
  <si>
    <t>美团优惠、建设银行、招商优惠卷、抖音卷系统后台收入</t>
  </si>
  <si>
    <t>总营业实收</t>
  </si>
  <si>
    <t>总销售额</t>
  </si>
  <si>
    <t>备注</t>
  </si>
  <si>
    <t>银豹付（支付宝、微信）</t>
  </si>
  <si>
    <t>银豹付微信</t>
  </si>
  <si>
    <t>充值金额</t>
  </si>
  <si>
    <t>储值卡充值赠送金额</t>
  </si>
  <si>
    <t>会员卡本金消费金额</t>
  </si>
  <si>
    <t>会员卡赠送消费金额</t>
  </si>
  <si>
    <t>预付卡支付</t>
  </si>
  <si>
    <t>代金券</t>
  </si>
  <si>
    <t>支付补单</t>
  </si>
  <si>
    <t>美团外卖后台</t>
  </si>
  <si>
    <t>美团优惠系统后台</t>
  </si>
  <si>
    <t>饿了么外卖后台</t>
  </si>
  <si>
    <t>招商优惠券（招商后台）</t>
  </si>
  <si>
    <t>银豹付</t>
  </si>
  <si>
    <t>退款金额</t>
  </si>
  <si>
    <t>银豹付合计金额</t>
  </si>
  <si>
    <t>微信小程序充值</t>
  </si>
  <si>
    <t>微信金额</t>
  </si>
  <si>
    <t>合计微信金额</t>
  </si>
  <si>
    <t>美团外卖金额</t>
  </si>
  <si>
    <t>打包费</t>
  </si>
  <si>
    <t>商家对顾客的活动补贴（美团后台）</t>
  </si>
  <si>
    <t>佣金</t>
  </si>
  <si>
    <t>配送服务费</t>
  </si>
  <si>
    <t>美团金额</t>
  </si>
  <si>
    <t>促销费</t>
  </si>
  <si>
    <t>平台服务费</t>
  </si>
  <si>
    <t>其他费用（美团食品保险）</t>
  </si>
  <si>
    <t>饿了么金额</t>
  </si>
  <si>
    <t>其他类（饿了么食品保险费）</t>
  </si>
  <si>
    <t>应收金额</t>
  </si>
  <si>
    <t>实收金额
（入账工行尾号3984）</t>
  </si>
  <si>
    <t>抖音金额</t>
  </si>
  <si>
    <t>2026.6.1</t>
  </si>
  <si>
    <t>星期一</t>
  </si>
  <si>
    <t>2026.6.2</t>
  </si>
  <si>
    <t>星期二</t>
  </si>
  <si>
    <t>2026.6.3</t>
  </si>
  <si>
    <t>星期三</t>
  </si>
  <si>
    <t>2026.6.4</t>
  </si>
  <si>
    <t>星期四</t>
  </si>
  <si>
    <t>2026.6.5</t>
  </si>
  <si>
    <t>星期五</t>
  </si>
  <si>
    <t>2026.6.6</t>
  </si>
  <si>
    <t>星期六</t>
  </si>
  <si>
    <t>2026.6.7</t>
  </si>
  <si>
    <t>星期日</t>
  </si>
  <si>
    <t>2026.6.8</t>
  </si>
  <si>
    <t>2026.6.9</t>
  </si>
  <si>
    <t>2026.6.10</t>
  </si>
  <si>
    <t>2026.6.11</t>
  </si>
  <si>
    <t>2026.6.12</t>
  </si>
  <si>
    <t>2026.6.13</t>
  </si>
  <si>
    <t>2026.6.14</t>
  </si>
  <si>
    <t>2026.6.15</t>
  </si>
  <si>
    <t>2026.6.16</t>
  </si>
  <si>
    <t>2026.6.17</t>
  </si>
  <si>
    <t>2026.6.18</t>
  </si>
  <si>
    <t>2026.6.19</t>
  </si>
  <si>
    <t>2026.6.20</t>
  </si>
  <si>
    <t>2026.6.21</t>
  </si>
  <si>
    <t>2026.6.22</t>
  </si>
  <si>
    <t>2026.6.23</t>
  </si>
  <si>
    <t>2026.6.24</t>
  </si>
  <si>
    <t>2026.6.25</t>
  </si>
  <si>
    <t>2026.6.26</t>
  </si>
  <si>
    <t>2026.6.27</t>
  </si>
  <si>
    <t>2026.6.28</t>
  </si>
  <si>
    <t>2026.6.29</t>
  </si>
  <si>
    <t>2026.6.30</t>
  </si>
  <si>
    <t>合计</t>
  </si>
  <si>
    <t>2026年6月麦安研东方宝泰店营业现金登记表</t>
  </si>
  <si>
    <t>银豹旧账号</t>
  </si>
  <si>
    <t>银豹现金总金额</t>
  </si>
  <si>
    <t>门店实收现金</t>
  </si>
  <si>
    <t>差异</t>
  </si>
  <si>
    <t>合计：</t>
  </si>
  <si>
    <t>2026年6月麦安研东方宝泰店营业额明细统计表</t>
  </si>
  <si>
    <t>存现（农行0174尾号）</t>
  </si>
  <si>
    <t>银豹预付卡/礼品卡销售金额</t>
  </si>
  <si>
    <t>抖音-卷(抖音后台）</t>
  </si>
  <si>
    <t>手续费0.0028</t>
  </si>
  <si>
    <t>应收金额（入账邮政银行4577尾号）T+1</t>
  </si>
  <si>
    <t>银行实收金额（邮政银行4577尾号）</t>
  </si>
  <si>
    <t>应收金额（小程序微信邮政银行4577尾号）T+1</t>
  </si>
  <si>
    <t>银行实收金额（小程序微信邮政银行4577尾号）t+1</t>
  </si>
  <si>
    <t>预付卡/礼品卡销售金额</t>
  </si>
  <si>
    <t>保险费用/补贴节省转推广账户</t>
  </si>
  <si>
    <t>应收金额(入账农行0174尾号）T+3</t>
  </si>
  <si>
    <t>银行实收金额（农行0174尾号）T+3</t>
  </si>
  <si>
    <t>应收金额（入账农行卡0174尾号）（T+7)</t>
  </si>
  <si>
    <t>银行实收金额（入账农行卡0174尾号）T+7</t>
  </si>
  <si>
    <t>招商应收金额（入账邮政银行4577尾号）(T+2)</t>
  </si>
  <si>
    <t>银行实收金额（入账邮政银行4577尾号）T+2</t>
  </si>
  <si>
    <t>佣金/服务费支出</t>
  </si>
  <si>
    <t>应收金额（邮政银行入账4577尾号）T+5</t>
  </si>
  <si>
    <t xml:space="preserve">邮政银行实收金额（入账4577尾号）T+5  </t>
  </si>
  <si>
    <t>现金合计
（人工）</t>
    <phoneticPr fontId="23" type="noConversion"/>
  </si>
  <si>
    <t>美团推广费</t>
    <phoneticPr fontId="2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</si>
</sst>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_ "/>
    <numFmt numFmtId="177" formatCode="0.00_);\(0.00\)"/>
    <numFmt numFmtId="178" formatCode="0.0_ "/>
  </numFmts>
  <fonts count="25" x14ac:knownFonts="1">
    <font>
      <sz val="11"/>
      <color theme="1"/>
      <name val="宋体"/>
      <charset val="134"/>
      <scheme val="minor"/>
    </font>
    <font>
      <sz val="18"/>
      <color theme="1"/>
      <name val="宋体"/>
      <family val="3"/>
      <charset val="134"/>
      <scheme val="minor"/>
    </font>
    <font>
      <sz val="16"/>
      <color theme="1"/>
      <name val="宋体"/>
      <family val="3"/>
      <charset val="134"/>
      <scheme val="minor"/>
    </font>
    <font>
      <sz val="14"/>
      <color rgb="FF000000"/>
      <name val="Calibri"/>
      <family val="2"/>
    </font>
    <font>
      <sz val="14"/>
      <color rgb="FF000000"/>
      <name val="宋体"/>
      <family val="3"/>
      <charset val="134"/>
    </font>
    <font>
      <b/>
      <sz val="9"/>
      <color rgb="FF222222"/>
      <name val="Helvetica"/>
      <family val="2"/>
    </font>
    <font>
      <sz val="14"/>
      <color theme="1"/>
      <name val="宋体"/>
      <family val="3"/>
      <charset val="134"/>
      <scheme val="minor"/>
    </font>
    <font>
      <sz val="14"/>
      <color rgb="FFFF0000"/>
      <name val="宋体"/>
      <family val="3"/>
      <charset val="134"/>
      <scheme val="minor"/>
    </font>
    <font>
      <sz val="16"/>
      <color rgb="FFFF0000"/>
      <name val="宋体"/>
      <family val="3"/>
      <charset val="134"/>
      <scheme val="minor"/>
    </font>
    <font>
      <b/>
      <sz val="20"/>
      <color rgb="FF000000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sz val="12"/>
      <color rgb="FF000000"/>
      <name val="微软雅黑"/>
      <family val="2"/>
      <charset val="134"/>
    </font>
    <font>
      <b/>
      <sz val="12"/>
      <color rgb="FFFF0000"/>
      <name val="微软雅黑"/>
      <family val="2"/>
      <charset val="134"/>
    </font>
    <font>
      <b/>
      <sz val="16"/>
      <color rgb="FF000000"/>
      <name val="微软雅黑"/>
      <family val="2"/>
      <charset val="134"/>
    </font>
    <font>
      <b/>
      <sz val="10"/>
      <color rgb="FF000000"/>
      <name val="微软雅黑"/>
      <family val="2"/>
      <charset val="134"/>
    </font>
    <font>
      <sz val="12"/>
      <color theme="1"/>
      <name val="微软雅黑"/>
      <family val="2"/>
      <charset val="134"/>
    </font>
    <font>
      <sz val="14"/>
      <color rgb="FF000000"/>
      <name val="微软雅黑"/>
      <family val="2"/>
      <charset val="134"/>
    </font>
    <font>
      <sz val="12"/>
      <color rgb="FF000000"/>
      <name val="微软雅黑"/>
      <family val="2"/>
      <charset val="134"/>
    </font>
    <font>
      <sz val="12"/>
      <color rgb="FFFF0000"/>
      <name val="微软雅黑"/>
      <family val="2"/>
      <charset val="134"/>
    </font>
    <font>
      <sz val="12"/>
      <color rgb="FF222222"/>
      <name val="微软雅黑"/>
      <family val="2"/>
      <charset val="134"/>
    </font>
    <font>
      <sz val="12"/>
      <color rgb="FF1D2129"/>
      <name val="微软雅黑"/>
      <family val="2"/>
      <charset val="134"/>
    </font>
    <font>
      <sz val="11"/>
      <color rgb="FF000000"/>
      <name val="微软雅黑"/>
      <family val="2"/>
      <charset val="134"/>
    </font>
    <font>
      <sz val="11"/>
      <color rgb="FFFF0000"/>
      <name val="微软雅黑"/>
      <family val="2"/>
      <charset val="134"/>
    </font>
    <font>
      <sz val="9"/>
      <name val="宋体"/>
      <family val="3"/>
      <charset val="134"/>
      <scheme val="minor"/>
    </font>
    <font>
      <sz val="12"/>
      <color rgb="FF3F4156"/>
      <name val="微软雅黑"/>
      <family val="2"/>
      <charset val="134"/>
    </font>
  </fonts>
  <fills count="12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E6B9B8"/>
        <bgColor indexed="64"/>
      </patternFill>
    </fill>
    <fill>
      <patternFill patternType="solid">
        <fgColor rgb="FFF2DCDB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1">
    <xf numFmtId="0" fontId="0" fillId="0" borderId="0">
      <alignment vertical="center"/>
    </xf>
  </cellStyleXfs>
  <cellXfs count="71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>
      <alignment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0" xfId="0" applyFont="1">
      <alignment vertical="center"/>
    </xf>
    <xf numFmtId="0" fontId="6" fillId="0" borderId="1" xfId="0" applyFont="1" applyBorder="1">
      <alignment vertic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>
      <alignment vertical="center"/>
    </xf>
    <xf numFmtId="0" fontId="8" fillId="0" borderId="1" xfId="0" applyFont="1" applyBorder="1">
      <alignment vertical="center"/>
    </xf>
    <xf numFmtId="0" fontId="6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1" xfId="0" applyFont="1" applyBorder="1" applyAlignment="1">
      <alignment vertical="center" wrapText="1"/>
    </xf>
    <xf numFmtId="0" fontId="0" fillId="0" borderId="1" xfId="0" applyBorder="1">
      <alignment vertical="center"/>
    </xf>
    <xf numFmtId="0" fontId="10" fillId="0" borderId="0" xfId="0" applyFont="1">
      <alignment vertical="center"/>
    </xf>
    <xf numFmtId="0" fontId="15" fillId="0" borderId="0" xfId="0" applyFont="1">
      <alignment vertical="center"/>
    </xf>
    <xf numFmtId="0" fontId="16" fillId="0" borderId="1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177" fontId="21" fillId="0" borderId="0" xfId="0" applyNumberFormat="1" applyFont="1" applyAlignment="1">
      <alignment horizontal="center" vertical="center"/>
    </xf>
    <xf numFmtId="177" fontId="22" fillId="0" borderId="0" xfId="0" applyNumberFormat="1" applyFont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176" fontId="12" fillId="0" borderId="1" xfId="0" applyNumberFormat="1" applyFont="1" applyBorder="1" applyAlignment="1">
      <alignment horizontal="center" vertical="center" wrapText="1"/>
    </xf>
    <xf numFmtId="0" fontId="13" fillId="11" borderId="1" xfId="0" applyFont="1" applyFill="1" applyBorder="1" applyAlignment="1">
      <alignment horizontal="center" vertical="center"/>
    </xf>
    <xf numFmtId="0" fontId="13" fillId="11" borderId="1" xfId="0" applyFont="1" applyFill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/>
    </xf>
    <xf numFmtId="177" fontId="11" fillId="5" borderId="1" xfId="0" applyNumberFormat="1" applyFont="1" applyFill="1" applyBorder="1" applyAlignment="1">
      <alignment horizontal="center" vertical="center"/>
    </xf>
    <xf numFmtId="177" fontId="11" fillId="6" borderId="1" xfId="0" applyNumberFormat="1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177" fontId="11" fillId="0" borderId="1" xfId="0" applyNumberFormat="1" applyFont="1" applyBorder="1" applyAlignment="1">
      <alignment horizontal="center" vertical="center" wrapText="1"/>
    </xf>
    <xf numFmtId="177" fontId="12" fillId="0" borderId="1" xfId="0" applyNumberFormat="1" applyFont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177" fontId="11" fillId="7" borderId="1" xfId="0" applyNumberFormat="1" applyFont="1" applyFill="1" applyBorder="1" applyAlignment="1">
      <alignment horizontal="center" vertical="center" wrapText="1"/>
    </xf>
    <xf numFmtId="177" fontId="12" fillId="7" borderId="1" xfId="0" applyNumberFormat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left" vertical="center" wrapText="1"/>
    </xf>
    <xf numFmtId="0" fontId="11" fillId="8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1" fillId="9" borderId="1" xfId="0" applyFont="1" applyFill="1" applyBorder="1" applyAlignment="1">
      <alignment horizontal="center" vertical="center" wrapText="1"/>
    </xf>
    <xf numFmtId="0" fontId="17" fillId="10" borderId="1" xfId="0" applyFont="1" applyFill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177" fontId="17" fillId="0" borderId="1" xfId="0" applyNumberFormat="1" applyFont="1" applyBorder="1" applyAlignment="1">
      <alignment horizontal="center" vertical="center"/>
    </xf>
    <xf numFmtId="177" fontId="17" fillId="10" borderId="1" xfId="0" applyNumberFormat="1" applyFont="1" applyFill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4" fontId="17" fillId="0" borderId="1" xfId="0" applyNumberFormat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 wrapText="1"/>
    </xf>
    <xf numFmtId="4" fontId="17" fillId="0" borderId="1" xfId="0" applyNumberFormat="1" applyFont="1" applyBorder="1" applyAlignment="1">
      <alignment horizontal="center" vertical="center" wrapText="1"/>
    </xf>
    <xf numFmtId="177" fontId="17" fillId="5" borderId="1" xfId="0" applyNumberFormat="1" applyFont="1" applyFill="1" applyBorder="1" applyAlignment="1">
      <alignment horizontal="center" vertical="center"/>
    </xf>
    <xf numFmtId="177" fontId="17" fillId="6" borderId="1" xfId="0" applyNumberFormat="1" applyFont="1" applyFill="1" applyBorder="1" applyAlignment="1">
      <alignment horizontal="center" vertical="center"/>
    </xf>
    <xf numFmtId="0" fontId="18" fillId="0" borderId="1" xfId="0" applyFont="1" applyBorder="1">
      <alignment vertical="center"/>
    </xf>
    <xf numFmtId="0" fontId="18" fillId="0" borderId="1" xfId="0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177" fontId="18" fillId="0" borderId="1" xfId="0" applyNumberFormat="1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76" fontId="17" fillId="0" borderId="1" xfId="0" applyNumberFormat="1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vertical="center" wrapText="1"/>
    </xf>
    <xf numFmtId="0" fontId="17" fillId="0" borderId="1" xfId="0" applyFont="1" applyBorder="1">
      <alignment vertical="center"/>
    </xf>
    <xf numFmtId="178" fontId="17" fillId="0" borderId="1" xfId="0" applyNumberFormat="1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E199"/>
  <sheetViews>
    <sheetView tabSelected="1" workbookViewId="0">
      <pane xSplit="3" ySplit="4" topLeftCell="K5" activePane="bottomRight" state="frozen"/>
      <selection pane="topRight"/>
      <selection pane="bottomLeft"/>
      <selection pane="bottomRight" activeCell="AD4" sqref="AD4"/>
    </sheetView>
  </sheetViews>
  <sheetFormatPr defaultColWidth="9" defaultRowHeight="15.6" x14ac:dyDescent="0.25"/>
  <cols>
    <col min="1" max="1" width="4.88671875" style="17" customWidth="1"/>
    <col min="2" max="2" width="11.88671875" style="17" customWidth="1"/>
    <col min="3" max="4" width="9" style="17"/>
    <col min="5" max="5" width="9" style="17" customWidth="1"/>
    <col min="6" max="6" width="9" style="17"/>
    <col min="7" max="7" width="9.88671875" style="17" customWidth="1"/>
    <col min="8" max="8" width="12.5546875" style="17" hidden="1" customWidth="1"/>
    <col min="9" max="9" width="10.33203125" style="17"/>
    <col min="10" max="10" width="9.88671875" style="17" customWidth="1"/>
    <col min="11" max="11" width="11.77734375" style="17" customWidth="1"/>
    <col min="12" max="12" width="9.21875" style="17"/>
    <col min="13" max="13" width="14" style="17" customWidth="1"/>
    <col min="14" max="14" width="14.5546875" style="17" hidden="1" customWidth="1"/>
    <col min="15" max="15" width="9.88671875" style="17" hidden="1" customWidth="1"/>
    <col min="16" max="16" width="10.33203125" style="17" hidden="1" customWidth="1"/>
    <col min="17" max="19" width="11.109375" style="17" hidden="1" customWidth="1"/>
    <col min="20" max="20" width="15.33203125" style="17" hidden="1" customWidth="1"/>
    <col min="21" max="21" width="13.33203125" style="17" hidden="1" customWidth="1"/>
    <col min="22" max="23" width="9" style="17"/>
    <col min="24" max="24" width="17.6640625" style="17" hidden="1" customWidth="1"/>
    <col min="25" max="26" width="9" style="17"/>
    <col min="27" max="27" width="12.21875" style="17" hidden="1" customWidth="1"/>
    <col min="28" max="28" width="9" style="17" hidden="1" customWidth="1"/>
    <col min="29" max="32" width="9" style="17"/>
    <col min="33" max="33" width="13.6640625" style="17" customWidth="1"/>
    <col min="34" max="35" width="9" style="17"/>
    <col min="36" max="36" width="17.109375" style="17" customWidth="1"/>
    <col min="37" max="37" width="14" style="17" customWidth="1"/>
    <col min="38" max="38" width="16.33203125" style="17" hidden="1" customWidth="1"/>
    <col min="39" max="39" width="9" style="17"/>
    <col min="40" max="40" width="11.109375" style="17"/>
    <col min="41" max="41" width="9" style="17"/>
    <col min="42" max="42" width="11.21875" style="17" customWidth="1"/>
    <col min="43" max="43" width="17.21875" style="17" customWidth="1"/>
    <col min="44" max="44" width="15.109375" style="17" hidden="1" customWidth="1"/>
    <col min="45" max="45" width="9" style="17"/>
    <col min="46" max="46" width="15.5546875" style="17" customWidth="1"/>
    <col min="47" max="47" width="10" style="17" customWidth="1"/>
    <col min="48" max="48" width="11.5546875" style="17" hidden="1" customWidth="1"/>
    <col min="49" max="49" width="12.77734375" style="17" customWidth="1"/>
    <col min="50" max="50" width="12.6640625" style="17" hidden="1" customWidth="1"/>
    <col min="51" max="51" width="10.88671875" style="17" customWidth="1"/>
    <col min="52" max="52" width="12.6640625" style="17" customWidth="1"/>
    <col min="53" max="53" width="14.5546875" style="17" customWidth="1"/>
    <col min="54" max="54" width="13.33203125" style="17" hidden="1" customWidth="1"/>
    <col min="55" max="55" width="12.21875" style="17" customWidth="1"/>
    <col min="56" max="56" width="9.88671875" style="17" customWidth="1"/>
    <col min="57" max="16384" width="9" style="17"/>
  </cols>
  <sheetData>
    <row r="1" spans="1:57" ht="26.25" customHeight="1" x14ac:dyDescent="0.25">
      <c r="A1" s="23" t="s">
        <v>87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</row>
    <row r="2" spans="1:57" ht="21" customHeight="1" x14ac:dyDescent="0.25">
      <c r="A2" s="27" t="s">
        <v>0</v>
      </c>
      <c r="B2" s="27" t="s">
        <v>1</v>
      </c>
      <c r="C2" s="27"/>
      <c r="D2" s="27" t="s">
        <v>2</v>
      </c>
      <c r="E2" s="27" t="s">
        <v>3</v>
      </c>
      <c r="F2" s="27" t="s">
        <v>4</v>
      </c>
      <c r="G2" s="28" t="s">
        <v>107</v>
      </c>
      <c r="H2" s="29" t="s">
        <v>88</v>
      </c>
      <c r="I2" s="30" t="s">
        <v>5</v>
      </c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1"/>
      <c r="AC2" s="31"/>
      <c r="AD2" s="32" t="s">
        <v>6</v>
      </c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  <c r="AQ2" s="32"/>
      <c r="AR2" s="32"/>
      <c r="AS2" s="32"/>
      <c r="AT2" s="32"/>
      <c r="AU2" s="32"/>
      <c r="AV2" s="32"/>
      <c r="AW2" s="32"/>
      <c r="AX2" s="32"/>
      <c r="AY2" s="32"/>
      <c r="AZ2" s="32"/>
      <c r="BA2" s="32"/>
      <c r="BB2" s="32"/>
      <c r="BC2" s="33" t="s">
        <v>7</v>
      </c>
      <c r="BD2" s="34" t="s">
        <v>8</v>
      </c>
      <c r="BE2" s="27" t="s">
        <v>9</v>
      </c>
    </row>
    <row r="3" spans="1:57" s="18" customFormat="1" ht="15" customHeight="1" x14ac:dyDescent="0.25">
      <c r="A3" s="27"/>
      <c r="B3" s="27"/>
      <c r="C3" s="27"/>
      <c r="D3" s="27"/>
      <c r="E3" s="27"/>
      <c r="F3" s="27"/>
      <c r="G3" s="27"/>
      <c r="H3" s="29"/>
      <c r="I3" s="27" t="s">
        <v>10</v>
      </c>
      <c r="J3" s="27"/>
      <c r="K3" s="27"/>
      <c r="L3" s="27"/>
      <c r="M3" s="27"/>
      <c r="N3" s="27"/>
      <c r="O3" s="35"/>
      <c r="P3" s="35"/>
      <c r="Q3" s="27" t="s">
        <v>11</v>
      </c>
      <c r="R3" s="27"/>
      <c r="S3" s="27"/>
      <c r="T3" s="27"/>
      <c r="U3" s="27"/>
      <c r="V3" s="28" t="s">
        <v>12</v>
      </c>
      <c r="W3" s="28" t="s">
        <v>13</v>
      </c>
      <c r="X3" s="35" t="s">
        <v>89</v>
      </c>
      <c r="Y3" s="36" t="s">
        <v>14</v>
      </c>
      <c r="Z3" s="36" t="s">
        <v>15</v>
      </c>
      <c r="AA3" s="27" t="s">
        <v>16</v>
      </c>
      <c r="AB3" s="27" t="s">
        <v>17</v>
      </c>
      <c r="AC3" s="27" t="s">
        <v>18</v>
      </c>
      <c r="AD3" s="37" t="s">
        <v>19</v>
      </c>
      <c r="AE3" s="37"/>
      <c r="AF3" s="37"/>
      <c r="AG3" s="37"/>
      <c r="AH3" s="37"/>
      <c r="AI3" s="37"/>
      <c r="AJ3" s="37"/>
      <c r="AK3" s="37"/>
      <c r="AL3" s="37"/>
      <c r="AM3" s="37" t="s">
        <v>20</v>
      </c>
      <c r="AN3" s="37"/>
      <c r="AO3" s="37"/>
      <c r="AP3" s="37"/>
      <c r="AQ3" s="37"/>
      <c r="AR3" s="37"/>
      <c r="AS3" s="37" t="s">
        <v>21</v>
      </c>
      <c r="AT3" s="37"/>
      <c r="AU3" s="37"/>
      <c r="AV3" s="38"/>
      <c r="AW3" s="39" t="s">
        <v>22</v>
      </c>
      <c r="AX3" s="39"/>
      <c r="AY3" s="37" t="s">
        <v>90</v>
      </c>
      <c r="AZ3" s="37"/>
      <c r="BA3" s="37"/>
      <c r="BB3" s="37"/>
      <c r="BC3" s="33"/>
      <c r="BD3" s="34"/>
      <c r="BE3" s="27"/>
    </row>
    <row r="4" spans="1:57" s="18" customFormat="1" ht="87" x14ac:dyDescent="0.25">
      <c r="A4" s="27"/>
      <c r="B4" s="27"/>
      <c r="C4" s="27"/>
      <c r="D4" s="27"/>
      <c r="E4" s="27"/>
      <c r="F4" s="27"/>
      <c r="G4" s="27"/>
      <c r="H4" s="29"/>
      <c r="I4" s="35" t="s">
        <v>23</v>
      </c>
      <c r="J4" s="35" t="s">
        <v>24</v>
      </c>
      <c r="K4" s="40" t="s">
        <v>25</v>
      </c>
      <c r="L4" s="41" t="s">
        <v>91</v>
      </c>
      <c r="M4" s="41" t="s">
        <v>92</v>
      </c>
      <c r="N4" s="42" t="s">
        <v>93</v>
      </c>
      <c r="O4" s="43" t="s">
        <v>26</v>
      </c>
      <c r="P4" s="43" t="s">
        <v>27</v>
      </c>
      <c r="Q4" s="43" t="s">
        <v>24</v>
      </c>
      <c r="R4" s="43" t="s">
        <v>28</v>
      </c>
      <c r="S4" s="44" t="s">
        <v>91</v>
      </c>
      <c r="T4" s="44" t="s">
        <v>94</v>
      </c>
      <c r="U4" s="45" t="s">
        <v>95</v>
      </c>
      <c r="V4" s="28"/>
      <c r="W4" s="28"/>
      <c r="X4" s="46" t="s">
        <v>96</v>
      </c>
      <c r="Y4" s="36"/>
      <c r="Z4" s="36"/>
      <c r="AA4" s="27"/>
      <c r="AB4" s="27"/>
      <c r="AC4" s="27"/>
      <c r="AD4" s="40" t="s">
        <v>108</v>
      </c>
      <c r="AE4" s="40" t="s">
        <v>29</v>
      </c>
      <c r="AF4" s="40" t="s">
        <v>30</v>
      </c>
      <c r="AG4" s="40" t="s">
        <v>31</v>
      </c>
      <c r="AH4" s="40" t="s">
        <v>32</v>
      </c>
      <c r="AI4" s="40" t="s">
        <v>33</v>
      </c>
      <c r="AJ4" s="40" t="s">
        <v>97</v>
      </c>
      <c r="AK4" s="47" t="s">
        <v>98</v>
      </c>
      <c r="AL4" s="48" t="s">
        <v>99</v>
      </c>
      <c r="AM4" s="40" t="s">
        <v>34</v>
      </c>
      <c r="AN4" s="40" t="s">
        <v>35</v>
      </c>
      <c r="AO4" s="40" t="s">
        <v>36</v>
      </c>
      <c r="AP4" s="40" t="s">
        <v>37</v>
      </c>
      <c r="AQ4" s="49" t="s">
        <v>100</v>
      </c>
      <c r="AR4" s="48" t="s">
        <v>101</v>
      </c>
      <c r="AS4" s="41" t="s">
        <v>38</v>
      </c>
      <c r="AT4" s="41" t="s">
        <v>39</v>
      </c>
      <c r="AU4" s="41" t="s">
        <v>40</v>
      </c>
      <c r="AV4" s="42" t="s">
        <v>41</v>
      </c>
      <c r="AW4" s="40" t="s">
        <v>102</v>
      </c>
      <c r="AX4" s="48" t="s">
        <v>103</v>
      </c>
      <c r="AY4" s="40" t="s">
        <v>42</v>
      </c>
      <c r="AZ4" s="40" t="s">
        <v>104</v>
      </c>
      <c r="BA4" s="49" t="s">
        <v>105</v>
      </c>
      <c r="BB4" s="48" t="s">
        <v>106</v>
      </c>
      <c r="BC4" s="33"/>
      <c r="BD4" s="34"/>
      <c r="BE4" s="27"/>
    </row>
    <row r="5" spans="1:57" s="18" customFormat="1" ht="22.95" customHeight="1" x14ac:dyDescent="0.25">
      <c r="A5" s="35">
        <f t="shared" ref="A5:A36" si="0">ROW()-4</f>
        <v>1</v>
      </c>
      <c r="B5" s="19" t="s">
        <v>43</v>
      </c>
      <c r="C5" s="19" t="s">
        <v>44</v>
      </c>
      <c r="D5" s="50">
        <f>F5-E5</f>
        <v>0</v>
      </c>
      <c r="E5" s="51"/>
      <c r="F5" s="51"/>
      <c r="G5" s="51"/>
      <c r="H5" s="51"/>
      <c r="I5" s="51"/>
      <c r="J5" s="51"/>
      <c r="K5" s="50">
        <f>I5-J5</f>
        <v>0</v>
      </c>
      <c r="L5" s="52"/>
      <c r="M5" s="53">
        <f t="shared" ref="M5:M35" si="1">K5-L5</f>
        <v>0</v>
      </c>
      <c r="N5" s="51"/>
      <c r="O5" s="51"/>
      <c r="P5" s="51"/>
      <c r="Q5" s="51"/>
      <c r="R5" s="50">
        <f t="shared" ref="R5:R35" si="2">P5-Q5</f>
        <v>0</v>
      </c>
      <c r="S5" s="52"/>
      <c r="T5" s="53">
        <f t="shared" ref="T5:T35" si="3">R5-S5</f>
        <v>0</v>
      </c>
      <c r="U5" s="52"/>
      <c r="V5" s="51"/>
      <c r="W5" s="51"/>
      <c r="X5" s="51"/>
      <c r="Y5" s="51"/>
      <c r="Z5" s="51"/>
      <c r="AA5" s="51"/>
      <c r="AB5" s="51"/>
      <c r="AC5" s="51"/>
      <c r="AD5" s="54"/>
      <c r="AE5" s="54"/>
      <c r="AF5" s="51"/>
      <c r="AG5" s="51"/>
      <c r="AH5" s="51"/>
      <c r="AI5" s="51"/>
      <c r="AJ5" s="51"/>
      <c r="AK5" s="50">
        <f>AE5+AF5-AG5-AH5-AI5-AJ5</f>
        <v>0</v>
      </c>
      <c r="AL5" s="51"/>
      <c r="AM5" s="55"/>
      <c r="AN5" s="51"/>
      <c r="AO5" s="51"/>
      <c r="AP5" s="56"/>
      <c r="AQ5" s="50">
        <f t="shared" ref="AQ5:AQ26" si="4">AM5-AN5-AO5-AP5</f>
        <v>0</v>
      </c>
      <c r="AR5" s="51"/>
      <c r="AS5" s="51"/>
      <c r="AT5" s="51"/>
      <c r="AU5" s="50">
        <f t="shared" ref="AU5:AU35" si="5">AS5-AT5</f>
        <v>0</v>
      </c>
      <c r="AV5" s="51"/>
      <c r="AW5" s="51"/>
      <c r="AX5" s="51"/>
      <c r="AY5" s="57"/>
      <c r="AZ5" s="51"/>
      <c r="BA5" s="50">
        <f t="shared" ref="BA5:BA35" si="6">AY5-AZ5</f>
        <v>0</v>
      </c>
      <c r="BB5" s="51"/>
      <c r="BC5" s="58">
        <f t="shared" ref="BC5:BC35" si="7">F5+M5+T5+AK5+AQ5+AU5+AW5+BA5</f>
        <v>0</v>
      </c>
      <c r="BD5" s="59">
        <f t="shared" ref="BD5:BD35" si="8">F5+K5+R5+AD5+AM5+AS5+AW5+AY5</f>
        <v>0</v>
      </c>
      <c r="BE5" s="51"/>
    </row>
    <row r="6" spans="1:57" s="18" customFormat="1" ht="22.95" customHeight="1" x14ac:dyDescent="0.25">
      <c r="A6" s="35">
        <f t="shared" si="0"/>
        <v>2</v>
      </c>
      <c r="B6" s="19" t="s">
        <v>45</v>
      </c>
      <c r="C6" s="19" t="s">
        <v>46</v>
      </c>
      <c r="D6" s="50">
        <f t="shared" ref="D6:D35" si="9">F6-E6</f>
        <v>0</v>
      </c>
      <c r="E6" s="51"/>
      <c r="F6" s="51"/>
      <c r="G6" s="51"/>
      <c r="H6" s="51"/>
      <c r="I6" s="51"/>
      <c r="J6" s="51"/>
      <c r="K6" s="50">
        <f t="shared" ref="K6:K35" si="10">I6-J6</f>
        <v>0</v>
      </c>
      <c r="L6" s="52"/>
      <c r="M6" s="53">
        <f t="shared" si="1"/>
        <v>0</v>
      </c>
      <c r="N6" s="51"/>
      <c r="O6" s="51"/>
      <c r="P6" s="51"/>
      <c r="Q6" s="51"/>
      <c r="R6" s="50">
        <f t="shared" si="2"/>
        <v>0</v>
      </c>
      <c r="S6" s="52"/>
      <c r="T6" s="53">
        <f t="shared" si="3"/>
        <v>0</v>
      </c>
      <c r="U6" s="52"/>
      <c r="V6" s="51"/>
      <c r="W6" s="51"/>
      <c r="X6" s="51"/>
      <c r="Y6" s="51"/>
      <c r="Z6" s="51"/>
      <c r="AA6" s="51"/>
      <c r="AB6" s="51"/>
      <c r="AC6" s="51"/>
      <c r="AD6" s="51"/>
      <c r="AE6" s="51"/>
      <c r="AF6" s="51"/>
      <c r="AG6" s="51"/>
      <c r="AH6" s="51"/>
      <c r="AI6" s="51"/>
      <c r="AJ6" s="51"/>
      <c r="AK6" s="50">
        <f t="shared" ref="AK6:AK35" si="11">AE6+AF6-AG6-AH6-AI6-AJ6</f>
        <v>0</v>
      </c>
      <c r="AL6" s="51"/>
      <c r="AM6" s="55"/>
      <c r="AN6" s="51"/>
      <c r="AO6" s="51"/>
      <c r="AP6" s="56"/>
      <c r="AQ6" s="50">
        <f t="shared" si="4"/>
        <v>0</v>
      </c>
      <c r="AR6" s="51"/>
      <c r="AS6" s="51"/>
      <c r="AT6" s="51"/>
      <c r="AU6" s="50">
        <f t="shared" si="5"/>
        <v>0</v>
      </c>
      <c r="AV6" s="51"/>
      <c r="AW6" s="51"/>
      <c r="AX6" s="51"/>
      <c r="AY6" s="57"/>
      <c r="AZ6" s="51"/>
      <c r="BA6" s="50">
        <f t="shared" si="6"/>
        <v>0</v>
      </c>
      <c r="BB6" s="51"/>
      <c r="BC6" s="58">
        <f t="shared" si="7"/>
        <v>0</v>
      </c>
      <c r="BD6" s="59">
        <f t="shared" si="8"/>
        <v>0</v>
      </c>
      <c r="BE6" s="51"/>
    </row>
    <row r="7" spans="1:57" s="18" customFormat="1" ht="22.95" customHeight="1" x14ac:dyDescent="0.25">
      <c r="A7" s="35">
        <f t="shared" si="0"/>
        <v>3</v>
      </c>
      <c r="B7" s="19" t="s">
        <v>47</v>
      </c>
      <c r="C7" s="19" t="s">
        <v>48</v>
      </c>
      <c r="D7" s="50">
        <f t="shared" si="9"/>
        <v>0</v>
      </c>
      <c r="E7" s="51"/>
      <c r="F7" s="51"/>
      <c r="G7" s="51"/>
      <c r="H7" s="51"/>
      <c r="I7" s="51"/>
      <c r="J7" s="51"/>
      <c r="K7" s="50">
        <f t="shared" si="10"/>
        <v>0</v>
      </c>
      <c r="L7" s="52"/>
      <c r="M7" s="53">
        <f t="shared" si="1"/>
        <v>0</v>
      </c>
      <c r="N7" s="51"/>
      <c r="O7" s="51"/>
      <c r="P7" s="51"/>
      <c r="Q7" s="51"/>
      <c r="R7" s="50">
        <f t="shared" si="2"/>
        <v>0</v>
      </c>
      <c r="S7" s="52"/>
      <c r="T7" s="53">
        <f t="shared" si="3"/>
        <v>0</v>
      </c>
      <c r="U7" s="52"/>
      <c r="V7" s="51"/>
      <c r="W7" s="51"/>
      <c r="X7" s="51"/>
      <c r="Y7" s="51"/>
      <c r="Z7" s="51"/>
      <c r="AA7" s="51"/>
      <c r="AB7" s="51"/>
      <c r="AC7" s="51"/>
      <c r="AD7" s="51"/>
      <c r="AE7" s="51"/>
      <c r="AF7" s="51"/>
      <c r="AG7" s="51"/>
      <c r="AH7" s="51"/>
      <c r="AI7" s="51"/>
      <c r="AJ7" s="51"/>
      <c r="AK7" s="50">
        <f t="shared" si="11"/>
        <v>0</v>
      </c>
      <c r="AL7" s="51"/>
      <c r="AM7" s="55"/>
      <c r="AN7" s="56"/>
      <c r="AO7" s="56"/>
      <c r="AP7" s="56"/>
      <c r="AQ7" s="50">
        <f t="shared" si="4"/>
        <v>0</v>
      </c>
      <c r="AR7" s="51"/>
      <c r="AS7" s="51"/>
      <c r="AT7" s="51"/>
      <c r="AU7" s="50">
        <f t="shared" si="5"/>
        <v>0</v>
      </c>
      <c r="AV7" s="51"/>
      <c r="AW7" s="51"/>
      <c r="AX7" s="51"/>
      <c r="AY7" s="57"/>
      <c r="AZ7" s="51"/>
      <c r="BA7" s="50">
        <f t="shared" si="6"/>
        <v>0</v>
      </c>
      <c r="BB7" s="51"/>
      <c r="BC7" s="58">
        <f t="shared" si="7"/>
        <v>0</v>
      </c>
      <c r="BD7" s="59">
        <f t="shared" si="8"/>
        <v>0</v>
      </c>
      <c r="BE7" s="60"/>
    </row>
    <row r="8" spans="1:57" s="18" customFormat="1" ht="22.95" customHeight="1" x14ac:dyDescent="0.25">
      <c r="A8" s="35">
        <f t="shared" si="0"/>
        <v>4</v>
      </c>
      <c r="B8" s="19" t="s">
        <v>49</v>
      </c>
      <c r="C8" s="19" t="s">
        <v>50</v>
      </c>
      <c r="D8" s="50">
        <f t="shared" si="9"/>
        <v>0</v>
      </c>
      <c r="E8" s="51"/>
      <c r="F8" s="51"/>
      <c r="G8" s="51"/>
      <c r="H8" s="51"/>
      <c r="I8" s="51"/>
      <c r="J8" s="51"/>
      <c r="K8" s="50">
        <f t="shared" si="10"/>
        <v>0</v>
      </c>
      <c r="L8" s="52"/>
      <c r="M8" s="53">
        <f t="shared" si="1"/>
        <v>0</v>
      </c>
      <c r="N8" s="51"/>
      <c r="O8" s="51"/>
      <c r="P8" s="51"/>
      <c r="Q8" s="51"/>
      <c r="R8" s="50">
        <f t="shared" si="2"/>
        <v>0</v>
      </c>
      <c r="S8" s="52"/>
      <c r="T8" s="53">
        <f t="shared" si="3"/>
        <v>0</v>
      </c>
      <c r="U8" s="52"/>
      <c r="V8" s="51"/>
      <c r="W8" s="51"/>
      <c r="X8" s="51"/>
      <c r="Y8" s="51"/>
      <c r="Z8" s="51"/>
      <c r="AA8" s="51"/>
      <c r="AB8" s="51"/>
      <c r="AC8" s="51"/>
      <c r="AD8" s="51"/>
      <c r="AE8" s="51"/>
      <c r="AF8" s="51"/>
      <c r="AG8" s="51"/>
      <c r="AH8" s="51"/>
      <c r="AI8" s="51"/>
      <c r="AJ8" s="51"/>
      <c r="AK8" s="50">
        <f t="shared" si="11"/>
        <v>0</v>
      </c>
      <c r="AL8" s="51"/>
      <c r="AM8" s="51"/>
      <c r="AN8" s="51"/>
      <c r="AO8" s="51"/>
      <c r="AP8" s="56"/>
      <c r="AQ8" s="50">
        <f t="shared" si="4"/>
        <v>0</v>
      </c>
      <c r="AR8" s="51"/>
      <c r="AS8" s="51"/>
      <c r="AT8" s="51"/>
      <c r="AU8" s="50">
        <f t="shared" si="5"/>
        <v>0</v>
      </c>
      <c r="AV8" s="51"/>
      <c r="AW8" s="51"/>
      <c r="AX8" s="51"/>
      <c r="AY8" s="57"/>
      <c r="AZ8" s="56"/>
      <c r="BA8" s="50">
        <f t="shared" si="6"/>
        <v>0</v>
      </c>
      <c r="BB8" s="51"/>
      <c r="BC8" s="58">
        <f t="shared" si="7"/>
        <v>0</v>
      </c>
      <c r="BD8" s="59">
        <f t="shared" si="8"/>
        <v>0</v>
      </c>
      <c r="BE8" s="61"/>
    </row>
    <row r="9" spans="1:57" s="18" customFormat="1" ht="22.95" customHeight="1" x14ac:dyDescent="0.25">
      <c r="A9" s="35">
        <f t="shared" si="0"/>
        <v>5</v>
      </c>
      <c r="B9" s="19" t="s">
        <v>51</v>
      </c>
      <c r="C9" s="19" t="s">
        <v>52</v>
      </c>
      <c r="D9" s="50">
        <f t="shared" si="9"/>
        <v>0</v>
      </c>
      <c r="E9" s="51"/>
      <c r="F9" s="51"/>
      <c r="G9" s="51"/>
      <c r="H9" s="51"/>
      <c r="I9" s="51"/>
      <c r="J9" s="51"/>
      <c r="K9" s="50">
        <f t="shared" si="10"/>
        <v>0</v>
      </c>
      <c r="L9" s="52"/>
      <c r="M9" s="53">
        <f t="shared" si="1"/>
        <v>0</v>
      </c>
      <c r="N9" s="51"/>
      <c r="O9" s="51"/>
      <c r="P9" s="51"/>
      <c r="Q9" s="51"/>
      <c r="R9" s="50">
        <f t="shared" si="2"/>
        <v>0</v>
      </c>
      <c r="S9" s="52"/>
      <c r="T9" s="53">
        <f t="shared" si="3"/>
        <v>0</v>
      </c>
      <c r="U9" s="52"/>
      <c r="V9" s="51"/>
      <c r="W9" s="51"/>
      <c r="X9" s="51"/>
      <c r="Y9" s="51"/>
      <c r="Z9" s="51"/>
      <c r="AA9" s="51"/>
      <c r="AB9" s="51"/>
      <c r="AC9" s="51"/>
      <c r="AD9" s="51"/>
      <c r="AE9" s="51"/>
      <c r="AF9" s="51"/>
      <c r="AG9" s="51"/>
      <c r="AH9" s="51"/>
      <c r="AI9" s="51"/>
      <c r="AJ9" s="51"/>
      <c r="AK9" s="50">
        <f t="shared" si="11"/>
        <v>0</v>
      </c>
      <c r="AL9" s="51"/>
      <c r="AM9" s="51"/>
      <c r="AN9" s="51"/>
      <c r="AO9" s="51"/>
      <c r="AP9" s="51"/>
      <c r="AQ9" s="50">
        <f t="shared" si="4"/>
        <v>0</v>
      </c>
      <c r="AR9" s="51"/>
      <c r="AS9" s="51"/>
      <c r="AT9" s="51"/>
      <c r="AU9" s="50">
        <f t="shared" si="5"/>
        <v>0</v>
      </c>
      <c r="AV9" s="51"/>
      <c r="AW9" s="51"/>
      <c r="AX9" s="51"/>
      <c r="AY9" s="57"/>
      <c r="AZ9" s="56"/>
      <c r="BA9" s="50">
        <f t="shared" si="6"/>
        <v>0</v>
      </c>
      <c r="BB9" s="51"/>
      <c r="BC9" s="58">
        <f t="shared" si="7"/>
        <v>0</v>
      </c>
      <c r="BD9" s="59">
        <f t="shared" si="8"/>
        <v>0</v>
      </c>
      <c r="BE9" s="51"/>
    </row>
    <row r="10" spans="1:57" s="18" customFormat="1" ht="22.95" customHeight="1" x14ac:dyDescent="0.25">
      <c r="A10" s="35">
        <f t="shared" si="0"/>
        <v>6</v>
      </c>
      <c r="B10" s="19" t="s">
        <v>53</v>
      </c>
      <c r="C10" s="19" t="s">
        <v>54</v>
      </c>
      <c r="D10" s="50">
        <f t="shared" si="9"/>
        <v>0</v>
      </c>
      <c r="E10" s="51"/>
      <c r="F10" s="51"/>
      <c r="G10" s="51"/>
      <c r="H10" s="51"/>
      <c r="I10" s="62"/>
      <c r="J10" s="51"/>
      <c r="K10" s="50">
        <f t="shared" si="10"/>
        <v>0</v>
      </c>
      <c r="L10" s="52"/>
      <c r="M10" s="53">
        <f t="shared" si="1"/>
        <v>0</v>
      </c>
      <c r="N10" s="51"/>
      <c r="O10" s="51"/>
      <c r="P10" s="51"/>
      <c r="Q10" s="51"/>
      <c r="R10" s="50">
        <f t="shared" si="2"/>
        <v>0</v>
      </c>
      <c r="S10" s="52"/>
      <c r="T10" s="53">
        <f t="shared" si="3"/>
        <v>0</v>
      </c>
      <c r="U10" s="63"/>
      <c r="V10" s="51"/>
      <c r="W10" s="51"/>
      <c r="X10" s="51"/>
      <c r="Y10" s="51"/>
      <c r="Z10" s="51"/>
      <c r="AA10" s="51"/>
      <c r="AB10" s="51"/>
      <c r="AC10" s="51"/>
      <c r="AD10" s="51"/>
      <c r="AE10" s="51"/>
      <c r="AF10" s="51"/>
      <c r="AG10" s="51"/>
      <c r="AH10" s="51"/>
      <c r="AI10" s="51"/>
      <c r="AJ10" s="51"/>
      <c r="AK10" s="50">
        <f t="shared" si="11"/>
        <v>0</v>
      </c>
      <c r="AL10" s="51"/>
      <c r="AM10" s="51"/>
      <c r="AN10" s="51"/>
      <c r="AO10" s="51"/>
      <c r="AP10" s="51"/>
      <c r="AQ10" s="50">
        <f t="shared" si="4"/>
        <v>0</v>
      </c>
      <c r="AR10" s="51"/>
      <c r="AS10" s="51"/>
      <c r="AT10" s="51"/>
      <c r="AU10" s="50">
        <f t="shared" si="5"/>
        <v>0</v>
      </c>
      <c r="AV10" s="51"/>
      <c r="AW10" s="51"/>
      <c r="AX10" s="51"/>
      <c r="AY10" s="57"/>
      <c r="AZ10" s="51"/>
      <c r="BA10" s="50">
        <f t="shared" si="6"/>
        <v>0</v>
      </c>
      <c r="BB10" s="51"/>
      <c r="BC10" s="58">
        <f t="shared" si="7"/>
        <v>0</v>
      </c>
      <c r="BD10" s="59">
        <f t="shared" si="8"/>
        <v>0</v>
      </c>
      <c r="BE10" s="51"/>
    </row>
    <row r="11" spans="1:57" s="18" customFormat="1" ht="22.95" customHeight="1" x14ac:dyDescent="0.25">
      <c r="A11" s="35">
        <f t="shared" si="0"/>
        <v>7</v>
      </c>
      <c r="B11" s="19" t="s">
        <v>55</v>
      </c>
      <c r="C11" s="19" t="s">
        <v>56</v>
      </c>
      <c r="D11" s="50">
        <f t="shared" si="9"/>
        <v>0</v>
      </c>
      <c r="E11" s="51"/>
      <c r="F11" s="51"/>
      <c r="G11" s="51"/>
      <c r="H11" s="51"/>
      <c r="I11" s="51"/>
      <c r="J11" s="51"/>
      <c r="K11" s="50">
        <f t="shared" si="10"/>
        <v>0</v>
      </c>
      <c r="L11" s="52"/>
      <c r="M11" s="53">
        <f t="shared" si="1"/>
        <v>0</v>
      </c>
      <c r="N11" s="51"/>
      <c r="O11" s="51"/>
      <c r="P11" s="51"/>
      <c r="Q11" s="51"/>
      <c r="R11" s="50">
        <f t="shared" si="2"/>
        <v>0</v>
      </c>
      <c r="S11" s="52"/>
      <c r="T11" s="53">
        <f t="shared" si="3"/>
        <v>0</v>
      </c>
      <c r="U11" s="63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0">
        <f t="shared" si="11"/>
        <v>0</v>
      </c>
      <c r="AL11" s="51"/>
      <c r="AM11" s="55"/>
      <c r="AN11" s="51"/>
      <c r="AO11" s="51"/>
      <c r="AP11" s="56"/>
      <c r="AQ11" s="50">
        <f t="shared" si="4"/>
        <v>0</v>
      </c>
      <c r="AR11" s="51"/>
      <c r="AS11" s="51"/>
      <c r="AT11" s="51"/>
      <c r="AU11" s="50">
        <f t="shared" si="5"/>
        <v>0</v>
      </c>
      <c r="AV11" s="51"/>
      <c r="AW11" s="51"/>
      <c r="AX11" s="51"/>
      <c r="AY11" s="57"/>
      <c r="AZ11" s="51"/>
      <c r="BA11" s="50">
        <f t="shared" si="6"/>
        <v>0</v>
      </c>
      <c r="BB11" s="51"/>
      <c r="BC11" s="58">
        <f t="shared" si="7"/>
        <v>0</v>
      </c>
      <c r="BD11" s="59">
        <f t="shared" si="8"/>
        <v>0</v>
      </c>
      <c r="BE11" s="51"/>
    </row>
    <row r="12" spans="1:57" s="18" customFormat="1" ht="22.95" customHeight="1" x14ac:dyDescent="0.25">
      <c r="A12" s="35">
        <f t="shared" si="0"/>
        <v>8</v>
      </c>
      <c r="B12" s="19" t="s">
        <v>57</v>
      </c>
      <c r="C12" s="19" t="s">
        <v>44</v>
      </c>
      <c r="D12" s="50">
        <f t="shared" si="9"/>
        <v>0</v>
      </c>
      <c r="E12" s="51"/>
      <c r="F12" s="51"/>
      <c r="G12" s="51"/>
      <c r="H12" s="51"/>
      <c r="I12" s="51"/>
      <c r="J12" s="51"/>
      <c r="K12" s="50">
        <f t="shared" si="10"/>
        <v>0</v>
      </c>
      <c r="L12" s="52"/>
      <c r="M12" s="53">
        <f t="shared" si="1"/>
        <v>0</v>
      </c>
      <c r="N12" s="51"/>
      <c r="O12" s="51"/>
      <c r="P12" s="51"/>
      <c r="Q12" s="51"/>
      <c r="R12" s="50">
        <f t="shared" si="2"/>
        <v>0</v>
      </c>
      <c r="S12" s="52"/>
      <c r="T12" s="53">
        <f t="shared" si="3"/>
        <v>0</v>
      </c>
      <c r="U12" s="63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0">
        <f t="shared" si="11"/>
        <v>0</v>
      </c>
      <c r="AL12" s="51"/>
      <c r="AM12" s="55"/>
      <c r="AN12" s="51"/>
      <c r="AO12" s="51"/>
      <c r="AP12" s="51"/>
      <c r="AQ12" s="50">
        <f t="shared" si="4"/>
        <v>0</v>
      </c>
      <c r="AR12" s="51"/>
      <c r="AS12" s="51"/>
      <c r="AT12" s="51"/>
      <c r="AU12" s="50">
        <f t="shared" si="5"/>
        <v>0</v>
      </c>
      <c r="AV12" s="51"/>
      <c r="AW12" s="51"/>
      <c r="AX12" s="51"/>
      <c r="AY12" s="57"/>
      <c r="AZ12" s="51"/>
      <c r="BA12" s="50">
        <f t="shared" si="6"/>
        <v>0</v>
      </c>
      <c r="BB12" s="51"/>
      <c r="BC12" s="58">
        <f t="shared" si="7"/>
        <v>0</v>
      </c>
      <c r="BD12" s="59">
        <f t="shared" si="8"/>
        <v>0</v>
      </c>
      <c r="BE12" s="51"/>
    </row>
    <row r="13" spans="1:57" s="18" customFormat="1" ht="22.95" customHeight="1" x14ac:dyDescent="0.25">
      <c r="A13" s="35">
        <f t="shared" si="0"/>
        <v>9</v>
      </c>
      <c r="B13" s="19" t="s">
        <v>58</v>
      </c>
      <c r="C13" s="19" t="s">
        <v>46</v>
      </c>
      <c r="D13" s="50">
        <f t="shared" si="9"/>
        <v>0</v>
      </c>
      <c r="E13" s="51"/>
      <c r="F13" s="51"/>
      <c r="G13" s="51"/>
      <c r="H13" s="51"/>
      <c r="I13" s="51"/>
      <c r="J13" s="51"/>
      <c r="K13" s="50">
        <f t="shared" si="10"/>
        <v>0</v>
      </c>
      <c r="L13" s="52"/>
      <c r="M13" s="53">
        <f t="shared" si="1"/>
        <v>0</v>
      </c>
      <c r="N13" s="51"/>
      <c r="O13" s="51"/>
      <c r="P13" s="51"/>
      <c r="Q13" s="51"/>
      <c r="R13" s="50">
        <f t="shared" si="2"/>
        <v>0</v>
      </c>
      <c r="S13" s="52"/>
      <c r="T13" s="53">
        <f t="shared" si="3"/>
        <v>0</v>
      </c>
      <c r="U13" s="63"/>
      <c r="V13" s="51"/>
      <c r="W13" s="51"/>
      <c r="X13" s="51"/>
      <c r="Y13" s="51"/>
      <c r="Z13" s="51"/>
      <c r="AA13" s="51"/>
      <c r="AB13" s="51"/>
      <c r="AC13" s="51"/>
      <c r="AD13" s="51"/>
      <c r="AE13" s="51"/>
      <c r="AF13" s="51"/>
      <c r="AG13" s="51"/>
      <c r="AH13" s="51"/>
      <c r="AI13" s="51"/>
      <c r="AJ13" s="51"/>
      <c r="AK13" s="50">
        <f t="shared" si="11"/>
        <v>0</v>
      </c>
      <c r="AL13" s="51"/>
      <c r="AM13" s="51"/>
      <c r="AN13" s="51"/>
      <c r="AO13" s="51"/>
      <c r="AP13" s="51"/>
      <c r="AQ13" s="50">
        <f t="shared" si="4"/>
        <v>0</v>
      </c>
      <c r="AR13" s="51"/>
      <c r="AS13" s="51"/>
      <c r="AT13" s="51"/>
      <c r="AU13" s="50">
        <f t="shared" si="5"/>
        <v>0</v>
      </c>
      <c r="AV13" s="51"/>
      <c r="AW13" s="51"/>
      <c r="AX13" s="51"/>
      <c r="AY13" s="57"/>
      <c r="AZ13" s="51"/>
      <c r="BA13" s="50">
        <f t="shared" si="6"/>
        <v>0</v>
      </c>
      <c r="BB13" s="51"/>
      <c r="BC13" s="58">
        <f t="shared" si="7"/>
        <v>0</v>
      </c>
      <c r="BD13" s="59">
        <f t="shared" si="8"/>
        <v>0</v>
      </c>
      <c r="BE13" s="51"/>
    </row>
    <row r="14" spans="1:57" s="18" customFormat="1" ht="22.95" customHeight="1" x14ac:dyDescent="0.25">
      <c r="A14" s="35">
        <f t="shared" si="0"/>
        <v>10</v>
      </c>
      <c r="B14" s="19" t="s">
        <v>59</v>
      </c>
      <c r="C14" s="19" t="s">
        <v>48</v>
      </c>
      <c r="D14" s="50">
        <f t="shared" si="9"/>
        <v>0</v>
      </c>
      <c r="E14" s="51"/>
      <c r="F14" s="51"/>
      <c r="G14" s="51"/>
      <c r="H14" s="51"/>
      <c r="I14" s="51"/>
      <c r="J14" s="51"/>
      <c r="K14" s="50">
        <f t="shared" si="10"/>
        <v>0</v>
      </c>
      <c r="L14" s="52"/>
      <c r="M14" s="53">
        <f t="shared" si="1"/>
        <v>0</v>
      </c>
      <c r="N14" s="51"/>
      <c r="O14" s="51"/>
      <c r="P14" s="51"/>
      <c r="Q14" s="51"/>
      <c r="R14" s="50">
        <f t="shared" si="2"/>
        <v>0</v>
      </c>
      <c r="S14" s="52"/>
      <c r="T14" s="53">
        <f t="shared" si="3"/>
        <v>0</v>
      </c>
      <c r="U14" s="63"/>
      <c r="V14" s="51"/>
      <c r="W14" s="51"/>
      <c r="X14" s="51"/>
      <c r="Y14" s="51"/>
      <c r="Z14" s="51"/>
      <c r="AA14" s="51"/>
      <c r="AB14" s="51"/>
      <c r="AC14" s="51"/>
      <c r="AD14" s="51"/>
      <c r="AE14" s="51"/>
      <c r="AF14" s="51"/>
      <c r="AG14" s="51"/>
      <c r="AH14" s="51"/>
      <c r="AI14" s="51"/>
      <c r="AJ14" s="51"/>
      <c r="AK14" s="50">
        <f t="shared" si="11"/>
        <v>0</v>
      </c>
      <c r="AL14" s="51"/>
      <c r="AM14" s="55"/>
      <c r="AN14" s="51"/>
      <c r="AO14" s="51"/>
      <c r="AP14" s="51"/>
      <c r="AQ14" s="50">
        <f t="shared" si="4"/>
        <v>0</v>
      </c>
      <c r="AR14" s="51"/>
      <c r="AS14" s="51"/>
      <c r="AT14" s="51"/>
      <c r="AU14" s="50">
        <f t="shared" si="5"/>
        <v>0</v>
      </c>
      <c r="AV14" s="51"/>
      <c r="AW14" s="51"/>
      <c r="AX14" s="51"/>
      <c r="AY14" s="57"/>
      <c r="AZ14" s="51"/>
      <c r="BA14" s="50">
        <f t="shared" si="6"/>
        <v>0</v>
      </c>
      <c r="BB14" s="51"/>
      <c r="BC14" s="58">
        <f t="shared" si="7"/>
        <v>0</v>
      </c>
      <c r="BD14" s="59">
        <f t="shared" si="8"/>
        <v>0</v>
      </c>
      <c r="BE14" s="51"/>
    </row>
    <row r="15" spans="1:57" s="18" customFormat="1" ht="22.95" customHeight="1" x14ac:dyDescent="0.25">
      <c r="A15" s="35">
        <f t="shared" si="0"/>
        <v>11</v>
      </c>
      <c r="B15" s="19" t="s">
        <v>60</v>
      </c>
      <c r="C15" s="19" t="s">
        <v>50</v>
      </c>
      <c r="D15" s="50">
        <f t="shared" si="9"/>
        <v>0</v>
      </c>
      <c r="E15" s="51"/>
      <c r="F15" s="51"/>
      <c r="G15" s="51"/>
      <c r="H15" s="51"/>
      <c r="I15" s="51"/>
      <c r="J15" s="51"/>
      <c r="K15" s="50">
        <f t="shared" si="10"/>
        <v>0</v>
      </c>
      <c r="L15" s="52"/>
      <c r="M15" s="53">
        <f t="shared" si="1"/>
        <v>0</v>
      </c>
      <c r="N15" s="51"/>
      <c r="O15" s="51"/>
      <c r="P15" s="51"/>
      <c r="Q15" s="51"/>
      <c r="R15" s="50">
        <f t="shared" si="2"/>
        <v>0</v>
      </c>
      <c r="S15" s="52"/>
      <c r="T15" s="53">
        <f t="shared" si="3"/>
        <v>0</v>
      </c>
      <c r="U15" s="63"/>
      <c r="V15" s="51"/>
      <c r="W15" s="51"/>
      <c r="X15" s="51"/>
      <c r="Y15" s="51"/>
      <c r="Z15" s="51"/>
      <c r="AA15" s="51"/>
      <c r="AB15" s="51"/>
      <c r="AC15" s="51"/>
      <c r="AD15" s="51"/>
      <c r="AE15" s="51"/>
      <c r="AF15" s="51"/>
      <c r="AG15" s="51"/>
      <c r="AH15" s="51"/>
      <c r="AI15" s="51"/>
      <c r="AJ15" s="51"/>
      <c r="AK15" s="50">
        <f t="shared" si="11"/>
        <v>0</v>
      </c>
      <c r="AL15" s="51"/>
      <c r="AM15" s="51"/>
      <c r="AN15" s="51"/>
      <c r="AO15" s="51"/>
      <c r="AP15" s="51"/>
      <c r="AQ15" s="50">
        <f t="shared" si="4"/>
        <v>0</v>
      </c>
      <c r="AR15" s="51"/>
      <c r="AS15" s="51"/>
      <c r="AT15" s="51"/>
      <c r="AU15" s="50">
        <f t="shared" si="5"/>
        <v>0</v>
      </c>
      <c r="AV15" s="51"/>
      <c r="AW15" s="51"/>
      <c r="AX15" s="51"/>
      <c r="AY15" s="57"/>
      <c r="AZ15" s="51"/>
      <c r="BA15" s="50">
        <f t="shared" si="6"/>
        <v>0</v>
      </c>
      <c r="BB15" s="51"/>
      <c r="BC15" s="58">
        <f t="shared" si="7"/>
        <v>0</v>
      </c>
      <c r="BD15" s="59">
        <f t="shared" si="8"/>
        <v>0</v>
      </c>
      <c r="BE15" s="51"/>
    </row>
    <row r="16" spans="1:57" s="18" customFormat="1" ht="22.95" customHeight="1" x14ac:dyDescent="0.25">
      <c r="A16" s="35">
        <f t="shared" si="0"/>
        <v>12</v>
      </c>
      <c r="B16" s="19" t="s">
        <v>61</v>
      </c>
      <c r="C16" s="19" t="s">
        <v>52</v>
      </c>
      <c r="D16" s="50">
        <f t="shared" si="9"/>
        <v>0</v>
      </c>
      <c r="E16" s="51"/>
      <c r="F16" s="51"/>
      <c r="G16" s="51"/>
      <c r="H16" s="51"/>
      <c r="I16" s="51"/>
      <c r="J16" s="51"/>
      <c r="K16" s="50">
        <f t="shared" si="10"/>
        <v>0</v>
      </c>
      <c r="L16" s="52"/>
      <c r="M16" s="53">
        <f t="shared" si="1"/>
        <v>0</v>
      </c>
      <c r="N16" s="51"/>
      <c r="O16" s="51"/>
      <c r="P16" s="51"/>
      <c r="Q16" s="51"/>
      <c r="R16" s="50">
        <f t="shared" si="2"/>
        <v>0</v>
      </c>
      <c r="S16" s="52"/>
      <c r="T16" s="53">
        <f t="shared" si="3"/>
        <v>0</v>
      </c>
      <c r="U16" s="63"/>
      <c r="V16" s="51"/>
      <c r="W16" s="51"/>
      <c r="X16" s="51"/>
      <c r="Y16" s="51"/>
      <c r="Z16" s="51"/>
      <c r="AA16" s="51"/>
      <c r="AB16" s="51"/>
      <c r="AC16" s="51"/>
      <c r="AD16" s="51"/>
      <c r="AE16" s="51"/>
      <c r="AF16" s="51"/>
      <c r="AG16" s="51"/>
      <c r="AH16" s="51"/>
      <c r="AI16" s="51"/>
      <c r="AJ16" s="51"/>
      <c r="AK16" s="50">
        <f t="shared" si="11"/>
        <v>0</v>
      </c>
      <c r="AL16" s="51"/>
      <c r="AM16" s="51"/>
      <c r="AN16" s="51"/>
      <c r="AO16" s="51"/>
      <c r="AP16" s="51"/>
      <c r="AQ16" s="50">
        <f t="shared" si="4"/>
        <v>0</v>
      </c>
      <c r="AR16" s="51"/>
      <c r="AS16" s="51"/>
      <c r="AT16" s="51"/>
      <c r="AU16" s="50">
        <f t="shared" si="5"/>
        <v>0</v>
      </c>
      <c r="AV16" s="51"/>
      <c r="AW16" s="51"/>
      <c r="AX16" s="51"/>
      <c r="AY16" s="57"/>
      <c r="AZ16" s="51"/>
      <c r="BA16" s="50">
        <f t="shared" si="6"/>
        <v>0</v>
      </c>
      <c r="BB16" s="51"/>
      <c r="BC16" s="58">
        <f t="shared" si="7"/>
        <v>0</v>
      </c>
      <c r="BD16" s="59">
        <f t="shared" si="8"/>
        <v>0</v>
      </c>
      <c r="BE16" s="51"/>
    </row>
    <row r="17" spans="1:57" s="18" customFormat="1" ht="22.95" customHeight="1" x14ac:dyDescent="0.25">
      <c r="A17" s="35">
        <f t="shared" si="0"/>
        <v>13</v>
      </c>
      <c r="B17" s="19" t="s">
        <v>62</v>
      </c>
      <c r="C17" s="19" t="s">
        <v>54</v>
      </c>
      <c r="D17" s="50">
        <f t="shared" si="9"/>
        <v>0</v>
      </c>
      <c r="E17" s="51"/>
      <c r="F17" s="51"/>
      <c r="G17" s="51"/>
      <c r="H17" s="51"/>
      <c r="I17" s="51"/>
      <c r="J17" s="51"/>
      <c r="K17" s="50">
        <f t="shared" si="10"/>
        <v>0</v>
      </c>
      <c r="L17" s="52"/>
      <c r="M17" s="53">
        <f t="shared" si="1"/>
        <v>0</v>
      </c>
      <c r="N17" s="51"/>
      <c r="O17" s="51"/>
      <c r="P17" s="51"/>
      <c r="Q17" s="51"/>
      <c r="R17" s="50">
        <f t="shared" si="2"/>
        <v>0</v>
      </c>
      <c r="S17" s="52"/>
      <c r="T17" s="53">
        <f t="shared" si="3"/>
        <v>0</v>
      </c>
      <c r="U17" s="63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0">
        <f t="shared" si="11"/>
        <v>0</v>
      </c>
      <c r="AL17" s="51"/>
      <c r="AM17" s="55"/>
      <c r="AN17" s="51"/>
      <c r="AO17" s="51"/>
      <c r="AP17" s="51"/>
      <c r="AQ17" s="50">
        <f t="shared" si="4"/>
        <v>0</v>
      </c>
      <c r="AR17" s="51"/>
      <c r="AS17" s="51"/>
      <c r="AT17" s="51"/>
      <c r="AU17" s="50">
        <f t="shared" si="5"/>
        <v>0</v>
      </c>
      <c r="AV17" s="51"/>
      <c r="AW17" s="51"/>
      <c r="AX17" s="51"/>
      <c r="AY17" s="57"/>
      <c r="AZ17" s="51"/>
      <c r="BA17" s="50">
        <f t="shared" si="6"/>
        <v>0</v>
      </c>
      <c r="BB17" s="64"/>
      <c r="BC17" s="58">
        <f t="shared" si="7"/>
        <v>0</v>
      </c>
      <c r="BD17" s="59">
        <f t="shared" si="8"/>
        <v>0</v>
      </c>
      <c r="BE17" s="51"/>
    </row>
    <row r="18" spans="1:57" s="18" customFormat="1" ht="22.95" customHeight="1" x14ac:dyDescent="0.25">
      <c r="A18" s="35">
        <f t="shared" si="0"/>
        <v>14</v>
      </c>
      <c r="B18" s="19" t="s">
        <v>63</v>
      </c>
      <c r="C18" s="19" t="s">
        <v>56</v>
      </c>
      <c r="D18" s="50">
        <f t="shared" si="9"/>
        <v>0</v>
      </c>
      <c r="E18" s="51"/>
      <c r="F18" s="51"/>
      <c r="G18" s="51"/>
      <c r="H18" s="51"/>
      <c r="I18" s="51"/>
      <c r="J18" s="51"/>
      <c r="K18" s="50">
        <f t="shared" si="10"/>
        <v>0</v>
      </c>
      <c r="L18" s="52"/>
      <c r="M18" s="53">
        <f t="shared" si="1"/>
        <v>0</v>
      </c>
      <c r="N18" s="65"/>
      <c r="O18" s="65"/>
      <c r="P18" s="51"/>
      <c r="Q18" s="51"/>
      <c r="R18" s="50">
        <f t="shared" si="2"/>
        <v>0</v>
      </c>
      <c r="S18" s="52"/>
      <c r="T18" s="53">
        <f t="shared" si="3"/>
        <v>0</v>
      </c>
      <c r="U18" s="63"/>
      <c r="V18" s="51"/>
      <c r="W18" s="51"/>
      <c r="X18" s="51"/>
      <c r="Y18" s="51"/>
      <c r="Z18" s="51"/>
      <c r="AA18" s="51"/>
      <c r="AB18" s="51"/>
      <c r="AC18" s="51"/>
      <c r="AD18" s="51"/>
      <c r="AE18" s="51"/>
      <c r="AF18" s="51"/>
      <c r="AG18" s="51"/>
      <c r="AH18" s="51"/>
      <c r="AI18" s="51"/>
      <c r="AJ18" s="51"/>
      <c r="AK18" s="50">
        <f t="shared" si="11"/>
        <v>0</v>
      </c>
      <c r="AL18" s="51"/>
      <c r="AM18" s="56"/>
      <c r="AN18" s="51"/>
      <c r="AO18" s="51"/>
      <c r="AP18" s="51"/>
      <c r="AQ18" s="50">
        <f t="shared" si="4"/>
        <v>0</v>
      </c>
      <c r="AR18" s="51"/>
      <c r="AS18" s="51"/>
      <c r="AT18" s="51"/>
      <c r="AU18" s="50">
        <f t="shared" si="5"/>
        <v>0</v>
      </c>
      <c r="AV18" s="51"/>
      <c r="AW18" s="51"/>
      <c r="AX18" s="51"/>
      <c r="AY18" s="57"/>
      <c r="AZ18" s="51"/>
      <c r="BA18" s="50">
        <f t="shared" si="6"/>
        <v>0</v>
      </c>
      <c r="BB18" s="64"/>
      <c r="BC18" s="58">
        <f t="shared" si="7"/>
        <v>0</v>
      </c>
      <c r="BD18" s="59">
        <f t="shared" si="8"/>
        <v>0</v>
      </c>
      <c r="BE18" s="51"/>
    </row>
    <row r="19" spans="1:57" s="18" customFormat="1" ht="22.95" customHeight="1" x14ac:dyDescent="0.25">
      <c r="A19" s="35">
        <f t="shared" si="0"/>
        <v>15</v>
      </c>
      <c r="B19" s="19" t="s">
        <v>64</v>
      </c>
      <c r="C19" s="19" t="s">
        <v>44</v>
      </c>
      <c r="D19" s="50">
        <f t="shared" si="9"/>
        <v>0</v>
      </c>
      <c r="E19" s="51"/>
      <c r="F19" s="51"/>
      <c r="G19" s="51"/>
      <c r="H19" s="51"/>
      <c r="I19" s="66"/>
      <c r="J19" s="51"/>
      <c r="K19" s="50">
        <f t="shared" si="10"/>
        <v>0</v>
      </c>
      <c r="L19" s="52"/>
      <c r="M19" s="53">
        <f t="shared" si="1"/>
        <v>0</v>
      </c>
      <c r="N19" s="51"/>
      <c r="O19" s="51"/>
      <c r="P19" s="51"/>
      <c r="Q19" s="51"/>
      <c r="R19" s="50">
        <f t="shared" si="2"/>
        <v>0</v>
      </c>
      <c r="S19" s="52"/>
      <c r="T19" s="53">
        <f t="shared" si="3"/>
        <v>0</v>
      </c>
      <c r="U19" s="63"/>
      <c r="V19" s="51"/>
      <c r="W19" s="51"/>
      <c r="X19" s="51"/>
      <c r="Y19" s="51"/>
      <c r="Z19" s="51"/>
      <c r="AA19" s="51"/>
      <c r="AB19" s="51"/>
      <c r="AC19" s="51"/>
      <c r="AD19" s="51"/>
      <c r="AE19" s="51"/>
      <c r="AF19" s="51"/>
      <c r="AG19" s="51"/>
      <c r="AH19" s="51"/>
      <c r="AI19" s="51"/>
      <c r="AJ19" s="51"/>
      <c r="AK19" s="50">
        <f t="shared" si="11"/>
        <v>0</v>
      </c>
      <c r="AL19" s="51"/>
      <c r="AM19" s="55"/>
      <c r="AN19" s="51"/>
      <c r="AO19" s="51"/>
      <c r="AP19" s="51"/>
      <c r="AQ19" s="50">
        <f t="shared" si="4"/>
        <v>0</v>
      </c>
      <c r="AR19" s="51"/>
      <c r="AS19" s="51"/>
      <c r="AT19" s="51"/>
      <c r="AU19" s="50">
        <f t="shared" si="5"/>
        <v>0</v>
      </c>
      <c r="AV19" s="51"/>
      <c r="AW19" s="51"/>
      <c r="AX19" s="51"/>
      <c r="AY19" s="55"/>
      <c r="AZ19" s="51"/>
      <c r="BA19" s="50">
        <f t="shared" si="6"/>
        <v>0</v>
      </c>
      <c r="BB19" s="64"/>
      <c r="BC19" s="58">
        <f t="shared" si="7"/>
        <v>0</v>
      </c>
      <c r="BD19" s="59">
        <f t="shared" si="8"/>
        <v>0</v>
      </c>
      <c r="BE19" s="51"/>
    </row>
    <row r="20" spans="1:57" s="18" customFormat="1" ht="22.95" customHeight="1" x14ac:dyDescent="0.25">
      <c r="A20" s="35">
        <f t="shared" si="0"/>
        <v>16</v>
      </c>
      <c r="B20" s="19" t="s">
        <v>65</v>
      </c>
      <c r="C20" s="19" t="s">
        <v>46</v>
      </c>
      <c r="D20" s="50">
        <f t="shared" si="9"/>
        <v>0</v>
      </c>
      <c r="E20" s="51"/>
      <c r="F20" s="51"/>
      <c r="G20" s="51"/>
      <c r="H20" s="51"/>
      <c r="I20" s="51"/>
      <c r="J20" s="51"/>
      <c r="K20" s="50">
        <f t="shared" si="10"/>
        <v>0</v>
      </c>
      <c r="L20" s="52"/>
      <c r="M20" s="53">
        <f t="shared" si="1"/>
        <v>0</v>
      </c>
      <c r="N20" s="51"/>
      <c r="O20" s="51"/>
      <c r="P20" s="51"/>
      <c r="Q20" s="51"/>
      <c r="R20" s="50">
        <f t="shared" si="2"/>
        <v>0</v>
      </c>
      <c r="S20" s="52"/>
      <c r="T20" s="53">
        <f t="shared" si="3"/>
        <v>0</v>
      </c>
      <c r="U20" s="63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0">
        <f t="shared" si="11"/>
        <v>0</v>
      </c>
      <c r="AL20" s="51"/>
      <c r="AM20" s="55"/>
      <c r="AN20" s="51"/>
      <c r="AO20" s="51"/>
      <c r="AP20" s="56"/>
      <c r="AQ20" s="50">
        <f t="shared" si="4"/>
        <v>0</v>
      </c>
      <c r="AR20" s="51"/>
      <c r="AS20" s="51"/>
      <c r="AT20" s="51"/>
      <c r="AU20" s="50">
        <f t="shared" si="5"/>
        <v>0</v>
      </c>
      <c r="AV20" s="51"/>
      <c r="AW20" s="51"/>
      <c r="AX20" s="51"/>
      <c r="AY20" s="55"/>
      <c r="AZ20" s="51"/>
      <c r="BA20" s="50">
        <f t="shared" si="6"/>
        <v>0</v>
      </c>
      <c r="BB20" s="64"/>
      <c r="BC20" s="58">
        <f t="shared" si="7"/>
        <v>0</v>
      </c>
      <c r="BD20" s="59">
        <f t="shared" si="8"/>
        <v>0</v>
      </c>
      <c r="BE20" s="51"/>
    </row>
    <row r="21" spans="1:57" s="18" customFormat="1" ht="22.95" customHeight="1" x14ac:dyDescent="0.25">
      <c r="A21" s="35">
        <f t="shared" si="0"/>
        <v>17</v>
      </c>
      <c r="B21" s="19" t="s">
        <v>66</v>
      </c>
      <c r="C21" s="19" t="s">
        <v>48</v>
      </c>
      <c r="D21" s="50">
        <f t="shared" si="9"/>
        <v>0</v>
      </c>
      <c r="E21" s="51"/>
      <c r="F21" s="51"/>
      <c r="G21" s="51"/>
      <c r="H21" s="51"/>
      <c r="I21" s="51"/>
      <c r="J21" s="51"/>
      <c r="K21" s="50">
        <f t="shared" si="10"/>
        <v>0</v>
      </c>
      <c r="L21" s="52"/>
      <c r="M21" s="53">
        <f t="shared" si="1"/>
        <v>0</v>
      </c>
      <c r="N21" s="51"/>
      <c r="O21" s="51"/>
      <c r="P21" s="51"/>
      <c r="Q21" s="51"/>
      <c r="R21" s="50">
        <f t="shared" si="2"/>
        <v>0</v>
      </c>
      <c r="S21" s="52"/>
      <c r="T21" s="53">
        <f t="shared" si="3"/>
        <v>0</v>
      </c>
      <c r="U21" s="63"/>
      <c r="V21" s="51"/>
      <c r="W21" s="51"/>
      <c r="X21" s="51"/>
      <c r="Y21" s="51"/>
      <c r="Z21" s="51"/>
      <c r="AA21" s="51"/>
      <c r="AB21" s="51"/>
      <c r="AC21" s="51"/>
      <c r="AD21" s="51"/>
      <c r="AE21" s="51"/>
      <c r="AF21" s="51"/>
      <c r="AG21" s="51"/>
      <c r="AH21" s="51"/>
      <c r="AI21" s="51"/>
      <c r="AJ21" s="51"/>
      <c r="AK21" s="50">
        <f t="shared" si="11"/>
        <v>0</v>
      </c>
      <c r="AL21" s="51"/>
      <c r="AM21" s="57"/>
      <c r="AN21" s="51"/>
      <c r="AO21" s="51"/>
      <c r="AP21" s="56"/>
      <c r="AQ21" s="50">
        <f t="shared" si="4"/>
        <v>0</v>
      </c>
      <c r="AR21" s="51"/>
      <c r="AS21" s="51"/>
      <c r="AT21" s="51"/>
      <c r="AU21" s="50">
        <f t="shared" si="5"/>
        <v>0</v>
      </c>
      <c r="AV21" s="51"/>
      <c r="AW21" s="51"/>
      <c r="AX21" s="51"/>
      <c r="AY21" s="57"/>
      <c r="AZ21" s="51"/>
      <c r="BA21" s="50">
        <f t="shared" si="6"/>
        <v>0</v>
      </c>
      <c r="BB21" s="64"/>
      <c r="BC21" s="58">
        <f t="shared" si="7"/>
        <v>0</v>
      </c>
      <c r="BD21" s="59">
        <f t="shared" si="8"/>
        <v>0</v>
      </c>
      <c r="BE21" s="51"/>
    </row>
    <row r="22" spans="1:57" s="18" customFormat="1" ht="22.95" customHeight="1" x14ac:dyDescent="0.25">
      <c r="A22" s="35">
        <f t="shared" si="0"/>
        <v>18</v>
      </c>
      <c r="B22" s="19" t="s">
        <v>67</v>
      </c>
      <c r="C22" s="19" t="s">
        <v>50</v>
      </c>
      <c r="D22" s="50">
        <f t="shared" si="9"/>
        <v>0</v>
      </c>
      <c r="E22" s="51"/>
      <c r="F22" s="51"/>
      <c r="G22" s="51"/>
      <c r="H22" s="51"/>
      <c r="I22" s="51"/>
      <c r="J22" s="51"/>
      <c r="K22" s="50">
        <f t="shared" si="10"/>
        <v>0</v>
      </c>
      <c r="L22" s="52"/>
      <c r="M22" s="53">
        <f t="shared" si="1"/>
        <v>0</v>
      </c>
      <c r="N22" s="51"/>
      <c r="O22" s="51"/>
      <c r="P22" s="51"/>
      <c r="Q22" s="51"/>
      <c r="R22" s="50">
        <f t="shared" si="2"/>
        <v>0</v>
      </c>
      <c r="S22" s="52"/>
      <c r="T22" s="53">
        <f t="shared" si="3"/>
        <v>0</v>
      </c>
      <c r="U22" s="63"/>
      <c r="V22" s="51"/>
      <c r="W22" s="51"/>
      <c r="X22" s="51"/>
      <c r="Y22" s="51"/>
      <c r="Z22" s="51"/>
      <c r="AA22" s="51"/>
      <c r="AB22" s="51"/>
      <c r="AC22" s="51"/>
      <c r="AD22" s="51"/>
      <c r="AE22" s="51"/>
      <c r="AF22" s="51"/>
      <c r="AG22" s="51"/>
      <c r="AH22" s="51"/>
      <c r="AI22" s="51"/>
      <c r="AJ22" s="51"/>
      <c r="AK22" s="50">
        <f t="shared" si="11"/>
        <v>0</v>
      </c>
      <c r="AL22" s="51"/>
      <c r="AM22" s="55"/>
      <c r="AN22" s="56"/>
      <c r="AO22" s="51"/>
      <c r="AP22" s="56"/>
      <c r="AQ22" s="50">
        <f t="shared" si="4"/>
        <v>0</v>
      </c>
      <c r="AR22" s="51"/>
      <c r="AS22" s="51"/>
      <c r="AT22" s="51"/>
      <c r="AU22" s="50">
        <f t="shared" si="5"/>
        <v>0</v>
      </c>
      <c r="AV22" s="51"/>
      <c r="AW22" s="51"/>
      <c r="AX22" s="51"/>
      <c r="AY22" s="57"/>
      <c r="AZ22" s="67"/>
      <c r="BA22" s="50">
        <f t="shared" si="6"/>
        <v>0</v>
      </c>
      <c r="BB22" s="56"/>
      <c r="BC22" s="58">
        <f t="shared" si="7"/>
        <v>0</v>
      </c>
      <c r="BD22" s="59">
        <f t="shared" si="8"/>
        <v>0</v>
      </c>
      <c r="BE22" s="68"/>
    </row>
    <row r="23" spans="1:57" s="18" customFormat="1" ht="22.95" customHeight="1" x14ac:dyDescent="0.25">
      <c r="A23" s="35">
        <f t="shared" si="0"/>
        <v>19</v>
      </c>
      <c r="B23" s="19" t="s">
        <v>68</v>
      </c>
      <c r="C23" s="19" t="s">
        <v>52</v>
      </c>
      <c r="D23" s="50">
        <f t="shared" si="9"/>
        <v>0</v>
      </c>
      <c r="E23" s="51"/>
      <c r="F23" s="51"/>
      <c r="G23" s="51"/>
      <c r="H23" s="51"/>
      <c r="I23" s="51"/>
      <c r="J23" s="51"/>
      <c r="K23" s="50">
        <f t="shared" si="10"/>
        <v>0</v>
      </c>
      <c r="L23" s="52"/>
      <c r="M23" s="53">
        <f t="shared" si="1"/>
        <v>0</v>
      </c>
      <c r="N23" s="51"/>
      <c r="O23" s="51"/>
      <c r="P23" s="51"/>
      <c r="Q23" s="51"/>
      <c r="R23" s="50">
        <f t="shared" si="2"/>
        <v>0</v>
      </c>
      <c r="S23" s="52"/>
      <c r="T23" s="53">
        <f t="shared" si="3"/>
        <v>0</v>
      </c>
      <c r="U23" s="63"/>
      <c r="V23" s="51"/>
      <c r="W23" s="51"/>
      <c r="X23" s="51"/>
      <c r="Y23" s="51"/>
      <c r="Z23" s="51"/>
      <c r="AA23" s="51"/>
      <c r="AB23" s="51"/>
      <c r="AC23" s="51"/>
      <c r="AD23" s="51"/>
      <c r="AE23" s="51"/>
      <c r="AF23" s="51"/>
      <c r="AG23" s="51"/>
      <c r="AH23" s="51"/>
      <c r="AI23" s="51"/>
      <c r="AJ23" s="51"/>
      <c r="AK23" s="50">
        <f t="shared" si="11"/>
        <v>0</v>
      </c>
      <c r="AL23" s="51"/>
      <c r="AM23" s="55"/>
      <c r="AN23" s="51"/>
      <c r="AO23" s="56"/>
      <c r="AP23" s="51"/>
      <c r="AQ23" s="50">
        <f t="shared" si="4"/>
        <v>0</v>
      </c>
      <c r="AR23" s="51"/>
      <c r="AS23" s="51"/>
      <c r="AT23" s="51"/>
      <c r="AU23" s="50">
        <f t="shared" si="5"/>
        <v>0</v>
      </c>
      <c r="AV23" s="51"/>
      <c r="AW23" s="51"/>
      <c r="AX23" s="51"/>
      <c r="AY23" s="57"/>
      <c r="AZ23" s="56"/>
      <c r="BA23" s="50">
        <f t="shared" si="6"/>
        <v>0</v>
      </c>
      <c r="BB23" s="51"/>
      <c r="BC23" s="58">
        <f t="shared" si="7"/>
        <v>0</v>
      </c>
      <c r="BD23" s="59">
        <f t="shared" si="8"/>
        <v>0</v>
      </c>
      <c r="BE23" s="69"/>
    </row>
    <row r="24" spans="1:57" s="18" customFormat="1" ht="22.95" customHeight="1" x14ac:dyDescent="0.25">
      <c r="A24" s="35">
        <f t="shared" si="0"/>
        <v>20</v>
      </c>
      <c r="B24" s="19" t="s">
        <v>69</v>
      </c>
      <c r="C24" s="19" t="s">
        <v>54</v>
      </c>
      <c r="D24" s="50">
        <f t="shared" si="9"/>
        <v>0</v>
      </c>
      <c r="E24" s="51"/>
      <c r="F24" s="51"/>
      <c r="G24" s="51"/>
      <c r="H24" s="51"/>
      <c r="I24" s="51"/>
      <c r="J24" s="51"/>
      <c r="K24" s="50">
        <f t="shared" si="10"/>
        <v>0</v>
      </c>
      <c r="L24" s="52"/>
      <c r="M24" s="53">
        <f t="shared" si="1"/>
        <v>0</v>
      </c>
      <c r="N24" s="51"/>
      <c r="O24" s="51"/>
      <c r="P24" s="51"/>
      <c r="Q24" s="66"/>
      <c r="R24" s="50">
        <f t="shared" si="2"/>
        <v>0</v>
      </c>
      <c r="S24" s="52"/>
      <c r="T24" s="53">
        <f t="shared" si="3"/>
        <v>0</v>
      </c>
      <c r="U24" s="63"/>
      <c r="V24" s="51"/>
      <c r="W24" s="51"/>
      <c r="X24" s="51"/>
      <c r="Y24" s="51"/>
      <c r="Z24" s="51"/>
      <c r="AA24" s="51"/>
      <c r="AB24" s="51"/>
      <c r="AC24" s="51"/>
      <c r="AD24" s="51"/>
      <c r="AE24" s="51"/>
      <c r="AF24" s="51"/>
      <c r="AG24" s="51"/>
      <c r="AH24" s="51"/>
      <c r="AI24" s="51"/>
      <c r="AJ24" s="51"/>
      <c r="AK24" s="50">
        <f t="shared" si="11"/>
        <v>0</v>
      </c>
      <c r="AL24" s="51"/>
      <c r="AM24" s="55"/>
      <c r="AN24" s="51"/>
      <c r="AO24" s="66"/>
      <c r="AP24" s="56"/>
      <c r="AQ24" s="50">
        <f t="shared" si="4"/>
        <v>0</v>
      </c>
      <c r="AR24" s="51"/>
      <c r="AS24" s="51"/>
      <c r="AT24" s="51"/>
      <c r="AU24" s="50">
        <f t="shared" si="5"/>
        <v>0</v>
      </c>
      <c r="AV24" s="51"/>
      <c r="AW24" s="51"/>
      <c r="AX24" s="51"/>
      <c r="AY24" s="57"/>
      <c r="AZ24" s="66"/>
      <c r="BA24" s="50">
        <f t="shared" si="6"/>
        <v>0</v>
      </c>
      <c r="BB24" s="51"/>
      <c r="BC24" s="58">
        <f t="shared" si="7"/>
        <v>0</v>
      </c>
      <c r="BD24" s="59">
        <f t="shared" si="8"/>
        <v>0</v>
      </c>
      <c r="BE24" s="69"/>
    </row>
    <row r="25" spans="1:57" s="18" customFormat="1" ht="22.95" customHeight="1" x14ac:dyDescent="0.25">
      <c r="A25" s="35">
        <f t="shared" si="0"/>
        <v>21</v>
      </c>
      <c r="B25" s="19" t="s">
        <v>70</v>
      </c>
      <c r="C25" s="19" t="s">
        <v>56</v>
      </c>
      <c r="D25" s="50">
        <f t="shared" si="9"/>
        <v>0</v>
      </c>
      <c r="E25" s="70"/>
      <c r="F25" s="51"/>
      <c r="G25" s="51"/>
      <c r="H25" s="70"/>
      <c r="I25" s="51"/>
      <c r="J25" s="66"/>
      <c r="K25" s="50">
        <f t="shared" si="10"/>
        <v>0</v>
      </c>
      <c r="L25" s="52"/>
      <c r="M25" s="53">
        <f t="shared" si="1"/>
        <v>0</v>
      </c>
      <c r="N25" s="70"/>
      <c r="O25" s="70"/>
      <c r="P25" s="51"/>
      <c r="Q25" s="66"/>
      <c r="R25" s="50">
        <f t="shared" si="2"/>
        <v>0</v>
      </c>
      <c r="S25" s="52"/>
      <c r="T25" s="53">
        <f t="shared" si="3"/>
        <v>0</v>
      </c>
      <c r="U25" s="63"/>
      <c r="V25" s="51"/>
      <c r="W25" s="51"/>
      <c r="X25" s="51"/>
      <c r="Y25" s="51"/>
      <c r="Z25" s="51"/>
      <c r="AA25" s="51"/>
      <c r="AB25" s="51"/>
      <c r="AC25" s="51"/>
      <c r="AD25" s="51"/>
      <c r="AE25" s="51"/>
      <c r="AF25" s="51"/>
      <c r="AG25" s="51"/>
      <c r="AH25" s="51"/>
      <c r="AI25" s="51"/>
      <c r="AJ25" s="51"/>
      <c r="AK25" s="50">
        <f t="shared" si="11"/>
        <v>0</v>
      </c>
      <c r="AL25" s="51"/>
      <c r="AM25" s="55"/>
      <c r="AN25" s="51"/>
      <c r="AO25" s="51"/>
      <c r="AP25" s="51"/>
      <c r="AQ25" s="50">
        <f t="shared" si="4"/>
        <v>0</v>
      </c>
      <c r="AR25" s="51"/>
      <c r="AS25" s="51"/>
      <c r="AT25" s="51"/>
      <c r="AU25" s="50">
        <f t="shared" si="5"/>
        <v>0</v>
      </c>
      <c r="AV25" s="51"/>
      <c r="AW25" s="51"/>
      <c r="AX25" s="51"/>
      <c r="AY25" s="57"/>
      <c r="AZ25" s="51"/>
      <c r="BA25" s="50">
        <f t="shared" si="6"/>
        <v>0</v>
      </c>
      <c r="BB25" s="51"/>
      <c r="BC25" s="58">
        <f t="shared" si="7"/>
        <v>0</v>
      </c>
      <c r="BD25" s="59">
        <f t="shared" si="8"/>
        <v>0</v>
      </c>
      <c r="BE25" s="69"/>
    </row>
    <row r="26" spans="1:57" s="18" customFormat="1" ht="22.95" customHeight="1" x14ac:dyDescent="0.25">
      <c r="A26" s="35">
        <f t="shared" si="0"/>
        <v>22</v>
      </c>
      <c r="B26" s="19" t="s">
        <v>71</v>
      </c>
      <c r="C26" s="19" t="s">
        <v>44</v>
      </c>
      <c r="D26" s="50">
        <f t="shared" si="9"/>
        <v>0</v>
      </c>
      <c r="E26" s="51"/>
      <c r="F26" s="51"/>
      <c r="G26" s="51"/>
      <c r="H26" s="51"/>
      <c r="I26" s="51"/>
      <c r="J26" s="51"/>
      <c r="K26" s="50">
        <f t="shared" si="10"/>
        <v>0</v>
      </c>
      <c r="L26" s="52"/>
      <c r="M26" s="53">
        <f t="shared" si="1"/>
        <v>0</v>
      </c>
      <c r="N26" s="51"/>
      <c r="O26" s="51"/>
      <c r="P26" s="51"/>
      <c r="Q26" s="66"/>
      <c r="R26" s="50">
        <f t="shared" si="2"/>
        <v>0</v>
      </c>
      <c r="S26" s="52"/>
      <c r="T26" s="53">
        <f t="shared" si="3"/>
        <v>0</v>
      </c>
      <c r="U26" s="63"/>
      <c r="V26" s="51"/>
      <c r="W26" s="51"/>
      <c r="X26" s="51"/>
      <c r="Y26" s="51"/>
      <c r="Z26" s="51"/>
      <c r="AA26" s="51"/>
      <c r="AB26" s="51"/>
      <c r="AC26" s="51"/>
      <c r="AD26" s="51"/>
      <c r="AE26" s="51"/>
      <c r="AF26" s="51"/>
      <c r="AG26" s="51"/>
      <c r="AH26" s="51"/>
      <c r="AI26" s="51"/>
      <c r="AJ26" s="51"/>
      <c r="AK26" s="50">
        <f t="shared" si="11"/>
        <v>0</v>
      </c>
      <c r="AL26" s="51"/>
      <c r="AM26" s="55"/>
      <c r="AN26" s="51"/>
      <c r="AO26" s="51"/>
      <c r="AP26" s="51"/>
      <c r="AQ26" s="50">
        <f t="shared" si="4"/>
        <v>0</v>
      </c>
      <c r="AR26" s="51"/>
      <c r="AS26" s="51"/>
      <c r="AT26" s="51"/>
      <c r="AU26" s="50">
        <f t="shared" si="5"/>
        <v>0</v>
      </c>
      <c r="AV26" s="51"/>
      <c r="AW26" s="51"/>
      <c r="AX26" s="51"/>
      <c r="AY26" s="57"/>
      <c r="AZ26" s="51"/>
      <c r="BA26" s="50">
        <f t="shared" si="6"/>
        <v>0</v>
      </c>
      <c r="BB26" s="64"/>
      <c r="BC26" s="58">
        <f t="shared" si="7"/>
        <v>0</v>
      </c>
      <c r="BD26" s="59">
        <f t="shared" si="8"/>
        <v>0</v>
      </c>
      <c r="BE26" s="69"/>
    </row>
    <row r="27" spans="1:57" s="18" customFormat="1" ht="22.95" customHeight="1" x14ac:dyDescent="0.25">
      <c r="A27" s="35">
        <f t="shared" si="0"/>
        <v>23</v>
      </c>
      <c r="B27" s="19" t="s">
        <v>72</v>
      </c>
      <c r="C27" s="19" t="s">
        <v>46</v>
      </c>
      <c r="D27" s="50">
        <f t="shared" si="9"/>
        <v>0</v>
      </c>
      <c r="E27" s="51"/>
      <c r="F27" s="51"/>
      <c r="G27" s="51"/>
      <c r="H27" s="51"/>
      <c r="I27" s="51"/>
      <c r="J27" s="51"/>
      <c r="K27" s="50">
        <f t="shared" si="10"/>
        <v>0</v>
      </c>
      <c r="L27" s="52"/>
      <c r="M27" s="53">
        <f t="shared" si="1"/>
        <v>0</v>
      </c>
      <c r="N27" s="51"/>
      <c r="O27" s="51"/>
      <c r="P27" s="51"/>
      <c r="Q27" s="66"/>
      <c r="R27" s="50">
        <f t="shared" si="2"/>
        <v>0</v>
      </c>
      <c r="S27" s="52"/>
      <c r="T27" s="53">
        <f t="shared" si="3"/>
        <v>0</v>
      </c>
      <c r="U27" s="63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1"/>
      <c r="AJ27" s="51"/>
      <c r="AK27" s="50">
        <f t="shared" si="11"/>
        <v>0</v>
      </c>
      <c r="AL27" s="51"/>
      <c r="AM27" s="55"/>
      <c r="AN27" s="51"/>
      <c r="AO27" s="51"/>
      <c r="AP27" s="56"/>
      <c r="AQ27" s="50">
        <f t="shared" ref="AQ27:AQ35" si="12">AM27-AN27-AO27-AP27</f>
        <v>0</v>
      </c>
      <c r="AR27" s="51"/>
      <c r="AS27" s="51"/>
      <c r="AT27" s="51"/>
      <c r="AU27" s="50">
        <f t="shared" si="5"/>
        <v>0</v>
      </c>
      <c r="AV27" s="51"/>
      <c r="AW27" s="51"/>
      <c r="AX27" s="51"/>
      <c r="AY27" s="57"/>
      <c r="AZ27" s="51"/>
      <c r="BA27" s="50">
        <f t="shared" si="6"/>
        <v>0</v>
      </c>
      <c r="BB27" s="51"/>
      <c r="BC27" s="58">
        <f t="shared" si="7"/>
        <v>0</v>
      </c>
      <c r="BD27" s="59">
        <f t="shared" si="8"/>
        <v>0</v>
      </c>
      <c r="BE27" s="69"/>
    </row>
    <row r="28" spans="1:57" s="18" customFormat="1" ht="22.95" customHeight="1" x14ac:dyDescent="0.25">
      <c r="A28" s="35">
        <f t="shared" si="0"/>
        <v>24</v>
      </c>
      <c r="B28" s="19" t="s">
        <v>73</v>
      </c>
      <c r="C28" s="19" t="s">
        <v>48</v>
      </c>
      <c r="D28" s="50">
        <f t="shared" si="9"/>
        <v>0</v>
      </c>
      <c r="E28" s="51"/>
      <c r="F28" s="51"/>
      <c r="G28" s="51"/>
      <c r="H28" s="51"/>
      <c r="I28" s="51"/>
      <c r="J28" s="51"/>
      <c r="K28" s="50">
        <f t="shared" si="10"/>
        <v>0</v>
      </c>
      <c r="L28" s="52"/>
      <c r="M28" s="53">
        <f t="shared" si="1"/>
        <v>0</v>
      </c>
      <c r="N28" s="51"/>
      <c r="O28" s="51"/>
      <c r="P28" s="51"/>
      <c r="Q28" s="66"/>
      <c r="R28" s="50">
        <f t="shared" si="2"/>
        <v>0</v>
      </c>
      <c r="S28" s="52"/>
      <c r="T28" s="53">
        <f t="shared" si="3"/>
        <v>0</v>
      </c>
      <c r="U28" s="63"/>
      <c r="V28" s="51"/>
      <c r="W28" s="51"/>
      <c r="X28" s="51"/>
      <c r="Y28" s="51"/>
      <c r="Z28" s="51"/>
      <c r="AA28" s="51"/>
      <c r="AB28" s="51"/>
      <c r="AC28" s="51"/>
      <c r="AD28" s="51"/>
      <c r="AE28" s="51"/>
      <c r="AF28" s="51"/>
      <c r="AG28" s="51"/>
      <c r="AH28" s="51"/>
      <c r="AI28" s="51"/>
      <c r="AJ28" s="51"/>
      <c r="AK28" s="50">
        <f t="shared" si="11"/>
        <v>0</v>
      </c>
      <c r="AL28" s="51"/>
      <c r="AM28" s="57"/>
      <c r="AN28" s="51"/>
      <c r="AO28" s="51"/>
      <c r="AP28" s="56"/>
      <c r="AQ28" s="50">
        <f t="shared" si="12"/>
        <v>0</v>
      </c>
      <c r="AR28" s="51"/>
      <c r="AS28" s="51"/>
      <c r="AT28" s="51"/>
      <c r="AU28" s="50">
        <f t="shared" si="5"/>
        <v>0</v>
      </c>
      <c r="AV28" s="51"/>
      <c r="AW28" s="51"/>
      <c r="AX28" s="51"/>
      <c r="AY28" s="57"/>
      <c r="AZ28" s="56"/>
      <c r="BA28" s="50">
        <f t="shared" si="6"/>
        <v>0</v>
      </c>
      <c r="BB28" s="64"/>
      <c r="BC28" s="58">
        <f t="shared" si="7"/>
        <v>0</v>
      </c>
      <c r="BD28" s="59">
        <f t="shared" si="8"/>
        <v>0</v>
      </c>
      <c r="BE28" s="69"/>
    </row>
    <row r="29" spans="1:57" s="18" customFormat="1" ht="22.95" customHeight="1" x14ac:dyDescent="0.25">
      <c r="A29" s="35">
        <f t="shared" si="0"/>
        <v>25</v>
      </c>
      <c r="B29" s="19" t="s">
        <v>74</v>
      </c>
      <c r="C29" s="19" t="s">
        <v>50</v>
      </c>
      <c r="D29" s="50">
        <f t="shared" si="9"/>
        <v>0</v>
      </c>
      <c r="E29" s="51"/>
      <c r="F29" s="51"/>
      <c r="G29" s="51"/>
      <c r="H29" s="51"/>
      <c r="I29" s="51"/>
      <c r="J29" s="51"/>
      <c r="K29" s="50">
        <f t="shared" si="10"/>
        <v>0</v>
      </c>
      <c r="L29" s="52"/>
      <c r="M29" s="53">
        <f t="shared" si="1"/>
        <v>0</v>
      </c>
      <c r="N29" s="51"/>
      <c r="O29" s="51"/>
      <c r="P29" s="51"/>
      <c r="Q29" s="66"/>
      <c r="R29" s="50">
        <f t="shared" si="2"/>
        <v>0</v>
      </c>
      <c r="S29" s="52"/>
      <c r="T29" s="53">
        <f t="shared" si="3"/>
        <v>0</v>
      </c>
      <c r="U29" s="63"/>
      <c r="V29" s="51"/>
      <c r="W29" s="51"/>
      <c r="X29" s="51"/>
      <c r="Y29" s="51"/>
      <c r="Z29" s="51"/>
      <c r="AA29" s="51"/>
      <c r="AB29" s="51"/>
      <c r="AC29" s="51"/>
      <c r="AD29" s="51"/>
      <c r="AE29" s="51"/>
      <c r="AF29" s="51"/>
      <c r="AG29" s="51"/>
      <c r="AH29" s="51"/>
      <c r="AI29" s="51"/>
      <c r="AJ29" s="51"/>
      <c r="AK29" s="50">
        <f t="shared" si="11"/>
        <v>0</v>
      </c>
      <c r="AL29" s="51"/>
      <c r="AM29" s="57"/>
      <c r="AN29" s="56"/>
      <c r="AO29" s="51"/>
      <c r="AP29" s="51"/>
      <c r="AQ29" s="50">
        <f t="shared" si="12"/>
        <v>0</v>
      </c>
      <c r="AR29" s="51"/>
      <c r="AS29" s="51"/>
      <c r="AT29" s="51"/>
      <c r="AU29" s="50">
        <f t="shared" si="5"/>
        <v>0</v>
      </c>
      <c r="AV29" s="51"/>
      <c r="AW29" s="51"/>
      <c r="AX29" s="51"/>
      <c r="AY29" s="57"/>
      <c r="AZ29" s="66"/>
      <c r="BA29" s="50">
        <f t="shared" si="6"/>
        <v>0</v>
      </c>
      <c r="BB29" s="51"/>
      <c r="BC29" s="58">
        <f t="shared" si="7"/>
        <v>0</v>
      </c>
      <c r="BD29" s="59">
        <f t="shared" si="8"/>
        <v>0</v>
      </c>
      <c r="BE29" s="69"/>
    </row>
    <row r="30" spans="1:57" s="18" customFormat="1" ht="22.95" customHeight="1" x14ac:dyDescent="0.25">
      <c r="A30" s="35">
        <f t="shared" si="0"/>
        <v>26</v>
      </c>
      <c r="B30" s="19" t="s">
        <v>75</v>
      </c>
      <c r="C30" s="19" t="s">
        <v>52</v>
      </c>
      <c r="D30" s="50">
        <f t="shared" si="9"/>
        <v>0</v>
      </c>
      <c r="E30" s="51"/>
      <c r="F30" s="51"/>
      <c r="G30" s="51"/>
      <c r="H30" s="51"/>
      <c r="I30" s="51"/>
      <c r="J30" s="51"/>
      <c r="K30" s="50">
        <f t="shared" si="10"/>
        <v>0</v>
      </c>
      <c r="L30" s="52"/>
      <c r="M30" s="53">
        <f t="shared" si="1"/>
        <v>0</v>
      </c>
      <c r="N30" s="51"/>
      <c r="O30" s="51"/>
      <c r="P30" s="51"/>
      <c r="Q30" s="66"/>
      <c r="R30" s="50">
        <f t="shared" si="2"/>
        <v>0</v>
      </c>
      <c r="S30" s="52"/>
      <c r="T30" s="53">
        <f t="shared" si="3"/>
        <v>0</v>
      </c>
      <c r="U30" s="63"/>
      <c r="V30" s="51"/>
      <c r="W30" s="51"/>
      <c r="X30" s="51"/>
      <c r="Y30" s="51"/>
      <c r="Z30" s="51"/>
      <c r="AA30" s="51"/>
      <c r="AB30" s="51"/>
      <c r="AC30" s="51"/>
      <c r="AD30" s="51"/>
      <c r="AE30" s="51"/>
      <c r="AF30" s="51"/>
      <c r="AG30" s="51"/>
      <c r="AH30" s="51"/>
      <c r="AI30" s="51"/>
      <c r="AJ30" s="51"/>
      <c r="AK30" s="50">
        <f t="shared" si="11"/>
        <v>0</v>
      </c>
      <c r="AL30" s="51"/>
      <c r="AM30" s="55"/>
      <c r="AN30" s="66"/>
      <c r="AO30" s="51"/>
      <c r="AP30" s="51"/>
      <c r="AQ30" s="50">
        <f t="shared" si="12"/>
        <v>0</v>
      </c>
      <c r="AR30" s="51"/>
      <c r="AS30" s="51"/>
      <c r="AT30" s="51"/>
      <c r="AU30" s="50">
        <f t="shared" si="5"/>
        <v>0</v>
      </c>
      <c r="AV30" s="51"/>
      <c r="AW30" s="51"/>
      <c r="AX30" s="51"/>
      <c r="AY30" s="57"/>
      <c r="AZ30" s="51"/>
      <c r="BA30" s="50">
        <f t="shared" si="6"/>
        <v>0</v>
      </c>
      <c r="BB30" s="51"/>
      <c r="BC30" s="58">
        <f t="shared" si="7"/>
        <v>0</v>
      </c>
      <c r="BD30" s="59">
        <f t="shared" si="8"/>
        <v>0</v>
      </c>
      <c r="BE30" s="69"/>
    </row>
    <row r="31" spans="1:57" s="18" customFormat="1" ht="22.95" customHeight="1" x14ac:dyDescent="0.25">
      <c r="A31" s="35">
        <f t="shared" si="0"/>
        <v>27</v>
      </c>
      <c r="B31" s="19" t="s">
        <v>76</v>
      </c>
      <c r="C31" s="19" t="s">
        <v>54</v>
      </c>
      <c r="D31" s="50">
        <f t="shared" si="9"/>
        <v>0</v>
      </c>
      <c r="E31" s="51"/>
      <c r="F31" s="51"/>
      <c r="G31" s="51"/>
      <c r="H31" s="51"/>
      <c r="I31" s="51"/>
      <c r="J31" s="51"/>
      <c r="K31" s="50">
        <f t="shared" si="10"/>
        <v>0</v>
      </c>
      <c r="L31" s="52"/>
      <c r="M31" s="53">
        <f t="shared" si="1"/>
        <v>0</v>
      </c>
      <c r="N31" s="51"/>
      <c r="O31" s="51"/>
      <c r="P31" s="51"/>
      <c r="Q31" s="66"/>
      <c r="R31" s="50">
        <f t="shared" si="2"/>
        <v>0</v>
      </c>
      <c r="S31" s="52"/>
      <c r="T31" s="53">
        <f t="shared" si="3"/>
        <v>0</v>
      </c>
      <c r="U31" s="63"/>
      <c r="V31" s="51"/>
      <c r="W31" s="51"/>
      <c r="X31" s="51"/>
      <c r="Y31" s="51"/>
      <c r="Z31" s="51"/>
      <c r="AA31" s="51"/>
      <c r="AB31" s="51"/>
      <c r="AC31" s="51"/>
      <c r="AD31" s="51"/>
      <c r="AE31" s="51"/>
      <c r="AF31" s="51"/>
      <c r="AG31" s="51"/>
      <c r="AH31" s="51"/>
      <c r="AI31" s="51"/>
      <c r="AJ31" s="51"/>
      <c r="AK31" s="50">
        <f t="shared" si="11"/>
        <v>0</v>
      </c>
      <c r="AL31" s="64"/>
      <c r="AM31" s="55"/>
      <c r="AN31" s="66"/>
      <c r="AO31" s="51"/>
      <c r="AP31" s="66"/>
      <c r="AQ31" s="50">
        <f t="shared" si="12"/>
        <v>0</v>
      </c>
      <c r="AR31" s="51"/>
      <c r="AS31" s="51"/>
      <c r="AT31" s="51"/>
      <c r="AU31" s="50">
        <f t="shared" si="5"/>
        <v>0</v>
      </c>
      <c r="AV31" s="51"/>
      <c r="AW31" s="51"/>
      <c r="AX31" s="51"/>
      <c r="AY31" s="57"/>
      <c r="AZ31" s="56"/>
      <c r="BA31" s="50">
        <f t="shared" si="6"/>
        <v>0</v>
      </c>
      <c r="BB31" s="51"/>
      <c r="BC31" s="58">
        <f t="shared" si="7"/>
        <v>0</v>
      </c>
      <c r="BD31" s="59">
        <f t="shared" si="8"/>
        <v>0</v>
      </c>
      <c r="BE31" s="69"/>
    </row>
    <row r="32" spans="1:57" s="18" customFormat="1" ht="22.95" customHeight="1" x14ac:dyDescent="0.25">
      <c r="A32" s="35">
        <f t="shared" si="0"/>
        <v>28</v>
      </c>
      <c r="B32" s="19" t="s">
        <v>77</v>
      </c>
      <c r="C32" s="19" t="s">
        <v>56</v>
      </c>
      <c r="D32" s="50">
        <f t="shared" si="9"/>
        <v>0</v>
      </c>
      <c r="E32" s="51"/>
      <c r="F32" s="51"/>
      <c r="G32" s="51"/>
      <c r="H32" s="51"/>
      <c r="I32" s="51"/>
      <c r="J32" s="51"/>
      <c r="K32" s="50">
        <f t="shared" si="10"/>
        <v>0</v>
      </c>
      <c r="L32" s="52"/>
      <c r="M32" s="53">
        <f t="shared" si="1"/>
        <v>0</v>
      </c>
      <c r="N32" s="51"/>
      <c r="O32" s="51"/>
      <c r="P32" s="51"/>
      <c r="Q32" s="66"/>
      <c r="R32" s="50">
        <f t="shared" si="2"/>
        <v>0</v>
      </c>
      <c r="S32" s="52"/>
      <c r="T32" s="53">
        <f t="shared" si="3"/>
        <v>0</v>
      </c>
      <c r="U32" s="63"/>
      <c r="V32" s="51"/>
      <c r="W32" s="51"/>
      <c r="X32" s="51"/>
      <c r="Y32" s="51"/>
      <c r="Z32" s="51"/>
      <c r="AA32" s="51"/>
      <c r="AB32" s="51"/>
      <c r="AC32" s="51"/>
      <c r="AD32" s="51"/>
      <c r="AE32" s="51"/>
      <c r="AF32" s="51"/>
      <c r="AG32" s="51"/>
      <c r="AH32" s="51"/>
      <c r="AI32" s="66"/>
      <c r="AJ32" s="51"/>
      <c r="AK32" s="50">
        <f t="shared" si="11"/>
        <v>0</v>
      </c>
      <c r="AL32" s="64"/>
      <c r="AM32" s="57"/>
      <c r="AN32" s="51"/>
      <c r="AO32" s="51"/>
      <c r="AP32" s="51"/>
      <c r="AQ32" s="50">
        <f t="shared" si="12"/>
        <v>0</v>
      </c>
      <c r="AR32" s="51"/>
      <c r="AS32" s="51"/>
      <c r="AT32" s="51"/>
      <c r="AU32" s="50">
        <f t="shared" si="5"/>
        <v>0</v>
      </c>
      <c r="AV32" s="51"/>
      <c r="AW32" s="51"/>
      <c r="AX32" s="51"/>
      <c r="AY32" s="57"/>
      <c r="AZ32" s="51"/>
      <c r="BA32" s="50">
        <f t="shared" si="6"/>
        <v>0</v>
      </c>
      <c r="BB32" s="51"/>
      <c r="BC32" s="58">
        <f t="shared" si="7"/>
        <v>0</v>
      </c>
      <c r="BD32" s="59">
        <f t="shared" si="8"/>
        <v>0</v>
      </c>
      <c r="BE32" s="51"/>
    </row>
    <row r="33" spans="1:57" s="18" customFormat="1" ht="22.95" customHeight="1" x14ac:dyDescent="0.25">
      <c r="A33" s="35">
        <f t="shared" si="0"/>
        <v>29</v>
      </c>
      <c r="B33" s="19" t="s">
        <v>78</v>
      </c>
      <c r="C33" s="19" t="s">
        <v>44</v>
      </c>
      <c r="D33" s="50">
        <f t="shared" si="9"/>
        <v>0</v>
      </c>
      <c r="E33" s="51"/>
      <c r="F33" s="51"/>
      <c r="G33" s="51"/>
      <c r="H33" s="51"/>
      <c r="I33" s="51"/>
      <c r="J33" s="51"/>
      <c r="K33" s="50">
        <f t="shared" si="10"/>
        <v>0</v>
      </c>
      <c r="L33" s="52"/>
      <c r="M33" s="53">
        <f t="shared" si="1"/>
        <v>0</v>
      </c>
      <c r="N33" s="51"/>
      <c r="O33" s="51"/>
      <c r="P33" s="51"/>
      <c r="Q33" s="66"/>
      <c r="R33" s="50">
        <f t="shared" si="2"/>
        <v>0</v>
      </c>
      <c r="S33" s="52"/>
      <c r="T33" s="53">
        <f t="shared" si="3"/>
        <v>0</v>
      </c>
      <c r="U33" s="63"/>
      <c r="V33" s="51"/>
      <c r="W33" s="51"/>
      <c r="X33" s="51"/>
      <c r="Y33" s="51"/>
      <c r="Z33" s="51"/>
      <c r="AA33" s="51"/>
      <c r="AB33" s="51"/>
      <c r="AC33" s="51"/>
      <c r="AD33" s="51"/>
      <c r="AE33" s="51"/>
      <c r="AF33" s="51"/>
      <c r="AG33" s="51"/>
      <c r="AH33" s="51"/>
      <c r="AI33" s="66"/>
      <c r="AJ33" s="51"/>
      <c r="AK33" s="50">
        <f t="shared" si="11"/>
        <v>0</v>
      </c>
      <c r="AL33" s="64"/>
      <c r="AM33" s="57"/>
      <c r="AN33" s="51"/>
      <c r="AO33" s="51"/>
      <c r="AP33" s="51"/>
      <c r="AQ33" s="50">
        <f t="shared" si="12"/>
        <v>0</v>
      </c>
      <c r="AR33" s="51"/>
      <c r="AS33" s="51"/>
      <c r="AT33" s="51"/>
      <c r="AU33" s="50">
        <f t="shared" si="5"/>
        <v>0</v>
      </c>
      <c r="AV33" s="51"/>
      <c r="AW33" s="51"/>
      <c r="AX33" s="51"/>
      <c r="AY33" s="57"/>
      <c r="AZ33" s="51"/>
      <c r="BA33" s="50">
        <f t="shared" si="6"/>
        <v>0</v>
      </c>
      <c r="BB33" s="51"/>
      <c r="BC33" s="58">
        <f t="shared" si="7"/>
        <v>0</v>
      </c>
      <c r="BD33" s="59">
        <f t="shared" si="8"/>
        <v>0</v>
      </c>
      <c r="BE33" s="51"/>
    </row>
    <row r="34" spans="1:57" s="18" customFormat="1" ht="22.95" customHeight="1" x14ac:dyDescent="0.25">
      <c r="A34" s="35">
        <f t="shared" si="0"/>
        <v>30</v>
      </c>
      <c r="B34" s="19" t="s">
        <v>79</v>
      </c>
      <c r="C34" s="19" t="s">
        <v>46</v>
      </c>
      <c r="D34" s="50">
        <f t="shared" si="9"/>
        <v>0</v>
      </c>
      <c r="E34" s="51"/>
      <c r="F34" s="51"/>
      <c r="G34" s="51"/>
      <c r="H34" s="51"/>
      <c r="I34" s="51"/>
      <c r="J34" s="51"/>
      <c r="K34" s="50">
        <f t="shared" si="10"/>
        <v>0</v>
      </c>
      <c r="L34" s="52"/>
      <c r="M34" s="53">
        <f t="shared" si="1"/>
        <v>0</v>
      </c>
      <c r="N34" s="51"/>
      <c r="O34" s="51"/>
      <c r="P34" s="51"/>
      <c r="Q34" s="66"/>
      <c r="R34" s="50">
        <f t="shared" si="2"/>
        <v>0</v>
      </c>
      <c r="S34" s="52"/>
      <c r="T34" s="53">
        <f t="shared" si="3"/>
        <v>0</v>
      </c>
      <c r="U34" s="63"/>
      <c r="V34" s="51"/>
      <c r="W34" s="51"/>
      <c r="X34" s="51"/>
      <c r="Y34" s="51"/>
      <c r="Z34" s="51"/>
      <c r="AA34" s="51"/>
      <c r="AB34" s="51"/>
      <c r="AC34" s="51"/>
      <c r="AD34" s="51"/>
      <c r="AE34" s="51"/>
      <c r="AF34" s="51"/>
      <c r="AG34" s="51"/>
      <c r="AH34" s="51"/>
      <c r="AI34" s="66"/>
      <c r="AJ34" s="51"/>
      <c r="AK34" s="50">
        <f t="shared" si="11"/>
        <v>0</v>
      </c>
      <c r="AL34" s="64"/>
      <c r="AM34" s="57"/>
      <c r="AN34" s="51"/>
      <c r="AO34" s="51"/>
      <c r="AP34" s="51"/>
      <c r="AQ34" s="50">
        <f t="shared" si="12"/>
        <v>0</v>
      </c>
      <c r="AR34" s="51"/>
      <c r="AS34" s="51"/>
      <c r="AT34" s="51"/>
      <c r="AU34" s="50">
        <f t="shared" si="5"/>
        <v>0</v>
      </c>
      <c r="AV34" s="51"/>
      <c r="AW34" s="51"/>
      <c r="AX34" s="51"/>
      <c r="AY34" s="57"/>
      <c r="AZ34" s="51"/>
      <c r="BA34" s="50">
        <f t="shared" si="6"/>
        <v>0</v>
      </c>
      <c r="BB34" s="51"/>
      <c r="BC34" s="58">
        <f t="shared" si="7"/>
        <v>0</v>
      </c>
      <c r="BD34" s="59">
        <f t="shared" si="8"/>
        <v>0</v>
      </c>
      <c r="BE34" s="51"/>
    </row>
    <row r="35" spans="1:57" s="18" customFormat="1" ht="22.95" customHeight="1" x14ac:dyDescent="0.25">
      <c r="A35" s="35">
        <f t="shared" si="0"/>
        <v>31</v>
      </c>
      <c r="B35" s="19"/>
      <c r="C35" s="19"/>
      <c r="D35" s="50">
        <f t="shared" si="9"/>
        <v>0</v>
      </c>
      <c r="E35" s="51"/>
      <c r="F35" s="51"/>
      <c r="G35" s="51"/>
      <c r="H35" s="51"/>
      <c r="I35" s="51"/>
      <c r="J35" s="51"/>
      <c r="K35" s="50">
        <f t="shared" si="10"/>
        <v>0</v>
      </c>
      <c r="L35" s="52"/>
      <c r="M35" s="53">
        <f t="shared" si="1"/>
        <v>0</v>
      </c>
      <c r="N35" s="51"/>
      <c r="O35" s="51"/>
      <c r="P35" s="51"/>
      <c r="Q35" s="66"/>
      <c r="R35" s="50">
        <f t="shared" si="2"/>
        <v>0</v>
      </c>
      <c r="S35" s="52"/>
      <c r="T35" s="53">
        <f t="shared" si="3"/>
        <v>0</v>
      </c>
      <c r="U35" s="63"/>
      <c r="V35" s="51"/>
      <c r="W35" s="51"/>
      <c r="X35" s="51"/>
      <c r="Y35" s="51"/>
      <c r="Z35" s="51"/>
      <c r="AA35" s="51"/>
      <c r="AB35" s="51"/>
      <c r="AC35" s="51"/>
      <c r="AD35" s="51"/>
      <c r="AE35" s="51"/>
      <c r="AF35" s="51"/>
      <c r="AG35" s="51"/>
      <c r="AH35" s="51"/>
      <c r="AI35" s="66"/>
      <c r="AJ35" s="51"/>
      <c r="AK35" s="50">
        <f t="shared" si="11"/>
        <v>0</v>
      </c>
      <c r="AL35" s="64"/>
      <c r="AM35" s="57"/>
      <c r="AN35" s="51"/>
      <c r="AO35" s="51"/>
      <c r="AP35" s="51"/>
      <c r="AQ35" s="50">
        <f t="shared" si="12"/>
        <v>0</v>
      </c>
      <c r="AR35" s="51"/>
      <c r="AS35" s="51"/>
      <c r="AT35" s="51"/>
      <c r="AU35" s="50">
        <f t="shared" si="5"/>
        <v>0</v>
      </c>
      <c r="AV35" s="51"/>
      <c r="AW35" s="51"/>
      <c r="AX35" s="51"/>
      <c r="AY35" s="57"/>
      <c r="AZ35" s="51"/>
      <c r="BA35" s="50">
        <f t="shared" si="6"/>
        <v>0</v>
      </c>
      <c r="BB35" s="51"/>
      <c r="BC35" s="58">
        <f t="shared" si="7"/>
        <v>0</v>
      </c>
      <c r="BD35" s="59">
        <f t="shared" si="8"/>
        <v>0</v>
      </c>
      <c r="BE35" s="51"/>
    </row>
    <row r="36" spans="1:57" s="18" customFormat="1" ht="22.95" customHeight="1" x14ac:dyDescent="0.25">
      <c r="A36" s="35">
        <f t="shared" si="0"/>
        <v>32</v>
      </c>
      <c r="B36" s="35" t="s">
        <v>80</v>
      </c>
      <c r="C36" s="51"/>
      <c r="D36" s="35">
        <f t="shared" ref="D36:BD36" si="13">SUM(D5:D35)</f>
        <v>0</v>
      </c>
      <c r="E36" s="35">
        <f t="shared" si="13"/>
        <v>0</v>
      </c>
      <c r="F36" s="35">
        <f t="shared" si="13"/>
        <v>0</v>
      </c>
      <c r="G36" s="35"/>
      <c r="H36" s="35">
        <f t="shared" si="13"/>
        <v>0</v>
      </c>
      <c r="I36" s="35">
        <f t="shared" si="13"/>
        <v>0</v>
      </c>
      <c r="J36" s="35">
        <f t="shared" si="13"/>
        <v>0</v>
      </c>
      <c r="K36" s="35">
        <f t="shared" si="13"/>
        <v>0</v>
      </c>
      <c r="L36" s="35">
        <f t="shared" si="13"/>
        <v>0</v>
      </c>
      <c r="M36" s="35">
        <f t="shared" si="13"/>
        <v>0</v>
      </c>
      <c r="N36" s="35">
        <f t="shared" si="13"/>
        <v>0</v>
      </c>
      <c r="O36" s="35">
        <f t="shared" si="13"/>
        <v>0</v>
      </c>
      <c r="P36" s="35">
        <f t="shared" si="13"/>
        <v>0</v>
      </c>
      <c r="Q36" s="35">
        <f t="shared" si="13"/>
        <v>0</v>
      </c>
      <c r="R36" s="35">
        <f t="shared" si="13"/>
        <v>0</v>
      </c>
      <c r="S36" s="35">
        <f t="shared" si="13"/>
        <v>0</v>
      </c>
      <c r="T36" s="35">
        <f t="shared" si="13"/>
        <v>0</v>
      </c>
      <c r="U36" s="35">
        <f t="shared" si="13"/>
        <v>0</v>
      </c>
      <c r="V36" s="35">
        <f t="shared" si="13"/>
        <v>0</v>
      </c>
      <c r="W36" s="35">
        <f t="shared" si="13"/>
        <v>0</v>
      </c>
      <c r="X36" s="35">
        <f t="shared" si="13"/>
        <v>0</v>
      </c>
      <c r="Y36" s="35">
        <f t="shared" si="13"/>
        <v>0</v>
      </c>
      <c r="Z36" s="35">
        <f t="shared" si="13"/>
        <v>0</v>
      </c>
      <c r="AA36" s="35">
        <f t="shared" si="13"/>
        <v>0</v>
      </c>
      <c r="AB36" s="35">
        <f t="shared" si="13"/>
        <v>0</v>
      </c>
      <c r="AC36" s="35">
        <f t="shared" si="13"/>
        <v>0</v>
      </c>
      <c r="AD36" s="35">
        <f t="shared" si="13"/>
        <v>0</v>
      </c>
      <c r="AE36" s="35"/>
      <c r="AF36" s="35">
        <f t="shared" si="13"/>
        <v>0</v>
      </c>
      <c r="AG36" s="35">
        <f t="shared" si="13"/>
        <v>0</v>
      </c>
      <c r="AH36" s="35">
        <f t="shared" si="13"/>
        <v>0</v>
      </c>
      <c r="AI36" s="35">
        <f t="shared" si="13"/>
        <v>0</v>
      </c>
      <c r="AJ36" s="35">
        <f t="shared" si="13"/>
        <v>0</v>
      </c>
      <c r="AK36" s="35">
        <f t="shared" si="13"/>
        <v>0</v>
      </c>
      <c r="AL36" s="35">
        <f t="shared" si="13"/>
        <v>0</v>
      </c>
      <c r="AM36" s="35">
        <f t="shared" si="13"/>
        <v>0</v>
      </c>
      <c r="AN36" s="35">
        <f t="shared" si="13"/>
        <v>0</v>
      </c>
      <c r="AO36" s="35">
        <f t="shared" si="13"/>
        <v>0</v>
      </c>
      <c r="AP36" s="35">
        <f t="shared" si="13"/>
        <v>0</v>
      </c>
      <c r="AQ36" s="35">
        <f t="shared" si="13"/>
        <v>0</v>
      </c>
      <c r="AR36" s="35">
        <f t="shared" si="13"/>
        <v>0</v>
      </c>
      <c r="AS36" s="35">
        <f t="shared" si="13"/>
        <v>0</v>
      </c>
      <c r="AT36" s="35">
        <f t="shared" si="13"/>
        <v>0</v>
      </c>
      <c r="AU36" s="35">
        <f t="shared" si="13"/>
        <v>0</v>
      </c>
      <c r="AV36" s="35">
        <f t="shared" si="13"/>
        <v>0</v>
      </c>
      <c r="AW36" s="35">
        <f t="shared" si="13"/>
        <v>0</v>
      </c>
      <c r="AX36" s="35">
        <f t="shared" si="13"/>
        <v>0</v>
      </c>
      <c r="AY36" s="35">
        <f t="shared" si="13"/>
        <v>0</v>
      </c>
      <c r="AZ36" s="35">
        <f t="shared" si="13"/>
        <v>0</v>
      </c>
      <c r="BA36" s="35">
        <f t="shared" si="13"/>
        <v>0</v>
      </c>
      <c r="BB36" s="35">
        <f t="shared" si="13"/>
        <v>0</v>
      </c>
      <c r="BC36" s="35">
        <f t="shared" si="13"/>
        <v>0</v>
      </c>
      <c r="BD36" s="35">
        <f t="shared" si="13"/>
        <v>0</v>
      </c>
      <c r="BE36" s="51"/>
    </row>
    <row r="37" spans="1:57" x14ac:dyDescent="0.25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1"/>
      <c r="M37" s="21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0"/>
      <c r="AL37" s="20"/>
      <c r="AM37" s="20"/>
      <c r="AN37" s="20"/>
      <c r="AO37" s="20"/>
      <c r="AP37" s="20"/>
      <c r="AQ37" s="20"/>
      <c r="AR37" s="20"/>
      <c r="AS37" s="20"/>
      <c r="AT37" s="20"/>
      <c r="AU37" s="20"/>
      <c r="AV37" s="20"/>
      <c r="AW37" s="20"/>
      <c r="AX37" s="20"/>
      <c r="AY37" s="20"/>
      <c r="AZ37" s="20"/>
      <c r="BA37" s="20"/>
      <c r="BB37" s="20"/>
      <c r="BC37" s="21"/>
      <c r="BD37" s="21"/>
      <c r="BE37" s="20"/>
    </row>
    <row r="38" spans="1:57" x14ac:dyDescent="0.25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1"/>
      <c r="M38" s="21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20"/>
      <c r="AK38" s="20"/>
      <c r="AL38" s="20"/>
      <c r="AM38" s="20"/>
      <c r="AN38" s="20"/>
      <c r="AO38" s="20"/>
      <c r="AP38" s="20"/>
      <c r="AQ38" s="20"/>
      <c r="AR38" s="20"/>
      <c r="AS38" s="20"/>
      <c r="AT38" s="20"/>
      <c r="AU38" s="20"/>
      <c r="AV38" s="20"/>
      <c r="AW38" s="20"/>
      <c r="AX38" s="20"/>
      <c r="AY38" s="20"/>
      <c r="AZ38" s="20"/>
      <c r="BA38" s="20"/>
      <c r="BB38" s="20"/>
      <c r="BC38" s="21"/>
      <c r="BD38" s="21"/>
      <c r="BE38" s="20"/>
    </row>
    <row r="39" spans="1:57" x14ac:dyDescent="0.25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1"/>
      <c r="M39" s="21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  <c r="AK39" s="20"/>
      <c r="AL39" s="20"/>
      <c r="AM39" s="20"/>
      <c r="AN39" s="20"/>
      <c r="AO39" s="20"/>
      <c r="AP39" s="20"/>
      <c r="AQ39" s="20"/>
      <c r="AR39" s="20"/>
      <c r="AS39" s="20"/>
      <c r="AT39" s="20"/>
      <c r="AU39" s="20"/>
      <c r="AV39" s="20"/>
      <c r="AW39" s="20"/>
      <c r="AX39" s="20"/>
      <c r="AY39" s="20"/>
      <c r="AZ39" s="20"/>
      <c r="BA39" s="20"/>
      <c r="BB39" s="20"/>
      <c r="BC39" s="21"/>
      <c r="BD39" s="21"/>
      <c r="BE39" s="20"/>
    </row>
    <row r="40" spans="1:57" x14ac:dyDescent="0.25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1"/>
      <c r="M40" s="21"/>
      <c r="N40" s="20"/>
      <c r="O40" s="20"/>
      <c r="P40" s="20"/>
      <c r="Q40" s="20"/>
      <c r="R40" s="20"/>
      <c r="T40" s="22"/>
      <c r="U40" s="20"/>
      <c r="V40" s="20"/>
      <c r="W40" s="20"/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0"/>
      <c r="AL40" s="20"/>
      <c r="AM40" s="20"/>
      <c r="AN40" s="20"/>
      <c r="AO40" s="20"/>
      <c r="AP40" s="20"/>
      <c r="AQ40" s="20"/>
      <c r="AR40" s="20"/>
      <c r="AS40" s="20"/>
      <c r="AT40" s="20"/>
      <c r="AU40" s="20"/>
      <c r="AV40" s="20"/>
      <c r="AW40" s="20"/>
      <c r="AX40" s="20"/>
      <c r="AY40" s="20"/>
      <c r="AZ40" s="20"/>
      <c r="BA40" s="20"/>
      <c r="BB40" s="20"/>
      <c r="BC40" s="21"/>
      <c r="BD40" s="21"/>
      <c r="BE40" s="20"/>
    </row>
    <row r="41" spans="1:57" x14ac:dyDescent="0.25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1"/>
      <c r="M41" s="21"/>
      <c r="N41" s="20"/>
      <c r="O41" s="20"/>
      <c r="P41" s="20"/>
      <c r="Q41" s="20"/>
      <c r="R41" s="20"/>
      <c r="T41" s="22"/>
      <c r="U41" s="20"/>
      <c r="V41" s="20"/>
      <c r="W41" s="20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0"/>
      <c r="AL41" s="20"/>
      <c r="AM41" s="20"/>
      <c r="AN41" s="20"/>
      <c r="AO41" s="20"/>
      <c r="AP41" s="20"/>
      <c r="AQ41" s="20"/>
      <c r="AR41" s="20"/>
      <c r="AS41" s="20"/>
      <c r="AT41" s="20"/>
      <c r="AU41" s="20"/>
      <c r="AV41" s="20"/>
      <c r="AW41" s="20"/>
      <c r="AX41" s="20"/>
      <c r="AY41" s="20"/>
      <c r="AZ41" s="20"/>
      <c r="BA41" s="20"/>
      <c r="BB41" s="20"/>
      <c r="BC41" s="21"/>
      <c r="BD41" s="21"/>
      <c r="BE41" s="20"/>
    </row>
    <row r="42" spans="1:57" x14ac:dyDescent="0.25">
      <c r="A42" s="20"/>
      <c r="B42" s="20"/>
      <c r="C42" s="20"/>
      <c r="D42" s="20"/>
      <c r="E42" s="20"/>
      <c r="F42" s="20"/>
      <c r="G42" s="20"/>
      <c r="H42" s="20"/>
      <c r="J42" s="20"/>
      <c r="K42" s="20"/>
      <c r="L42" s="21"/>
      <c r="M42" s="21"/>
      <c r="N42" s="20"/>
      <c r="O42" s="20"/>
      <c r="P42" s="20"/>
      <c r="Q42" s="20"/>
      <c r="R42" s="20"/>
      <c r="T42" s="22"/>
      <c r="U42" s="20"/>
      <c r="V42" s="20"/>
      <c r="W42" s="20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  <c r="AK42" s="20"/>
      <c r="AL42" s="20"/>
      <c r="AM42" s="20"/>
      <c r="AN42" s="20"/>
      <c r="AO42" s="20"/>
      <c r="AP42" s="20"/>
      <c r="AQ42" s="20"/>
      <c r="AR42" s="20"/>
      <c r="AS42" s="20"/>
      <c r="AT42" s="20"/>
      <c r="AU42" s="20"/>
      <c r="AV42" s="20"/>
      <c r="AW42" s="20"/>
      <c r="AX42" s="20"/>
      <c r="AY42" s="20"/>
      <c r="AZ42" s="20"/>
      <c r="BA42" s="20"/>
      <c r="BB42" s="20"/>
      <c r="BC42" s="21"/>
      <c r="BD42" s="21"/>
      <c r="BE42" s="20"/>
    </row>
    <row r="43" spans="1:57" x14ac:dyDescent="0.25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1"/>
      <c r="M43" s="21"/>
      <c r="N43" s="20"/>
      <c r="O43" s="20"/>
      <c r="P43" s="20"/>
      <c r="Q43" s="20"/>
      <c r="R43" s="20"/>
      <c r="T43" s="22"/>
      <c r="U43" s="20"/>
      <c r="V43" s="20"/>
      <c r="W43" s="20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0"/>
      <c r="AP43" s="20"/>
      <c r="AQ43" s="20"/>
      <c r="AR43" s="20"/>
      <c r="AS43" s="20"/>
      <c r="AT43" s="20"/>
      <c r="AU43" s="20"/>
      <c r="AV43" s="20"/>
      <c r="AW43" s="20"/>
      <c r="AX43" s="20"/>
      <c r="AY43" s="20"/>
      <c r="AZ43" s="20"/>
      <c r="BA43" s="20"/>
      <c r="BB43" s="20"/>
      <c r="BC43" s="21"/>
      <c r="BD43" s="21"/>
      <c r="BE43" s="20"/>
    </row>
    <row r="44" spans="1:57" x14ac:dyDescent="0.25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1"/>
      <c r="M44" s="21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  <c r="AQ44" s="20"/>
      <c r="AR44" s="20"/>
      <c r="AS44" s="20"/>
      <c r="AT44" s="20"/>
      <c r="AU44" s="20"/>
      <c r="AV44" s="20"/>
      <c r="AW44" s="20"/>
      <c r="AX44" s="20"/>
      <c r="AY44" s="20"/>
      <c r="AZ44" s="20"/>
      <c r="BA44" s="20"/>
      <c r="BB44" s="20"/>
      <c r="BC44" s="21"/>
      <c r="BD44" s="21"/>
      <c r="BE44" s="20"/>
    </row>
    <row r="45" spans="1:57" x14ac:dyDescent="0.25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1"/>
      <c r="M45" s="21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  <c r="AM45" s="20"/>
      <c r="AN45" s="20"/>
      <c r="AO45" s="20"/>
      <c r="AP45" s="20"/>
      <c r="AQ45" s="20"/>
      <c r="AR45" s="20"/>
      <c r="AS45" s="20"/>
      <c r="AT45" s="20"/>
      <c r="AU45" s="20"/>
      <c r="AV45" s="20"/>
      <c r="AW45" s="20"/>
      <c r="AX45" s="20"/>
      <c r="AY45" s="20"/>
      <c r="AZ45" s="20"/>
      <c r="BA45" s="20"/>
      <c r="BB45" s="20"/>
      <c r="BC45" s="21"/>
      <c r="BD45" s="21"/>
      <c r="BE45" s="20"/>
    </row>
    <row r="46" spans="1:57" x14ac:dyDescent="0.25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1"/>
      <c r="M46" s="21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20"/>
      <c r="AT46" s="20"/>
      <c r="AU46" s="20"/>
      <c r="AV46" s="20"/>
      <c r="AW46" s="20"/>
      <c r="AX46" s="20"/>
      <c r="AY46" s="20"/>
      <c r="AZ46" s="20"/>
      <c r="BA46" s="20"/>
      <c r="BB46" s="20"/>
      <c r="BC46" s="21"/>
      <c r="BD46" s="21"/>
      <c r="BE46" s="20"/>
    </row>
    <row r="47" spans="1:57" x14ac:dyDescent="0.25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1"/>
      <c r="M47" s="21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0"/>
      <c r="AN47" s="20"/>
      <c r="AO47" s="20"/>
      <c r="AP47" s="20"/>
      <c r="AQ47" s="20"/>
      <c r="AR47" s="20"/>
      <c r="AS47" s="20"/>
      <c r="AT47" s="20"/>
      <c r="AU47" s="20"/>
      <c r="AV47" s="20"/>
      <c r="AW47" s="20"/>
      <c r="AX47" s="20"/>
      <c r="AY47" s="20"/>
      <c r="AZ47" s="20"/>
      <c r="BA47" s="20"/>
      <c r="BB47" s="20"/>
      <c r="BC47" s="21"/>
      <c r="BD47" s="21"/>
      <c r="BE47" s="20"/>
    </row>
    <row r="48" spans="1:57" x14ac:dyDescent="0.25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1"/>
      <c r="M48" s="21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  <c r="AE48" s="20"/>
      <c r="AF48" s="20"/>
      <c r="AG48" s="20"/>
      <c r="AH48" s="20"/>
      <c r="AI48" s="20"/>
      <c r="AJ48" s="20"/>
      <c r="AK48" s="20"/>
      <c r="AL48" s="20"/>
      <c r="AM48" s="20"/>
      <c r="AN48" s="20"/>
      <c r="AO48" s="20"/>
      <c r="AP48" s="20"/>
      <c r="AQ48" s="20"/>
      <c r="AR48" s="20"/>
      <c r="AS48" s="20"/>
      <c r="AT48" s="20"/>
      <c r="AU48" s="20"/>
      <c r="AV48" s="20"/>
      <c r="AW48" s="20"/>
      <c r="AX48" s="20"/>
      <c r="AY48" s="20"/>
      <c r="AZ48" s="20"/>
      <c r="BA48" s="20"/>
      <c r="BB48" s="20"/>
      <c r="BC48" s="21"/>
      <c r="BD48" s="21"/>
      <c r="BE48" s="20"/>
    </row>
    <row r="49" spans="1:57" x14ac:dyDescent="0.25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1"/>
      <c r="M49" s="21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  <c r="AE49" s="20"/>
      <c r="AF49" s="20"/>
      <c r="AG49" s="20"/>
      <c r="AH49" s="20"/>
      <c r="AI49" s="20"/>
      <c r="AJ49" s="20"/>
      <c r="AK49" s="20"/>
      <c r="AL49" s="20"/>
      <c r="AM49" s="20"/>
      <c r="AN49" s="20"/>
      <c r="AO49" s="20"/>
      <c r="AP49" s="20"/>
      <c r="AQ49" s="20"/>
      <c r="AR49" s="20"/>
      <c r="AS49" s="20"/>
      <c r="AT49" s="20"/>
      <c r="AU49" s="20"/>
      <c r="AV49" s="20"/>
      <c r="AW49" s="20"/>
      <c r="AX49" s="20"/>
      <c r="AY49" s="20"/>
      <c r="AZ49" s="20"/>
      <c r="BA49" s="20"/>
      <c r="BB49" s="20"/>
      <c r="BC49" s="21"/>
      <c r="BD49" s="21"/>
      <c r="BE49" s="20"/>
    </row>
    <row r="50" spans="1:57" x14ac:dyDescent="0.25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1"/>
      <c r="M50" s="21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  <c r="AT50" s="20"/>
      <c r="AU50" s="20"/>
      <c r="AV50" s="20"/>
      <c r="AW50" s="20"/>
      <c r="AX50" s="20"/>
      <c r="AY50" s="20"/>
      <c r="AZ50" s="20"/>
      <c r="BA50" s="20"/>
      <c r="BB50" s="20"/>
      <c r="BC50" s="21"/>
      <c r="BD50" s="21"/>
      <c r="BE50" s="20"/>
    </row>
    <row r="51" spans="1:57" x14ac:dyDescent="0.25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1"/>
      <c r="M51" s="21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0"/>
      <c r="AL51" s="20"/>
      <c r="AM51" s="20"/>
      <c r="AN51" s="20"/>
      <c r="AO51" s="20"/>
      <c r="AP51" s="20"/>
      <c r="AQ51" s="20"/>
      <c r="AR51" s="20"/>
      <c r="AS51" s="20"/>
      <c r="AT51" s="20"/>
      <c r="AU51" s="20"/>
      <c r="AV51" s="20"/>
      <c r="AW51" s="20"/>
      <c r="AX51" s="20"/>
      <c r="AY51" s="20"/>
      <c r="AZ51" s="20"/>
      <c r="BA51" s="20"/>
      <c r="BB51" s="20"/>
      <c r="BC51" s="21"/>
      <c r="BD51" s="21"/>
      <c r="BE51" s="20"/>
    </row>
    <row r="52" spans="1:57" x14ac:dyDescent="0.25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1"/>
      <c r="M52" s="21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0"/>
      <c r="AL52" s="20"/>
      <c r="AM52" s="20"/>
      <c r="AN52" s="20"/>
      <c r="AO52" s="20"/>
      <c r="AP52" s="20"/>
      <c r="AQ52" s="20"/>
      <c r="AR52" s="20"/>
      <c r="AS52" s="20"/>
      <c r="AT52" s="20"/>
      <c r="AU52" s="20"/>
      <c r="AV52" s="20"/>
      <c r="AW52" s="20"/>
      <c r="AX52" s="20"/>
      <c r="AY52" s="20"/>
      <c r="AZ52" s="20"/>
      <c r="BA52" s="20"/>
      <c r="BB52" s="20"/>
      <c r="BC52" s="21"/>
      <c r="BD52" s="21"/>
      <c r="BE52" s="20"/>
    </row>
    <row r="53" spans="1:57" x14ac:dyDescent="0.25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1"/>
      <c r="M53" s="21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/>
      <c r="AI53" s="20"/>
      <c r="AJ53" s="20"/>
      <c r="AK53" s="20"/>
      <c r="AL53" s="20"/>
      <c r="AM53" s="20"/>
      <c r="AN53" s="20"/>
      <c r="AO53" s="20"/>
      <c r="AP53" s="20"/>
      <c r="AQ53" s="20"/>
      <c r="AR53" s="20"/>
      <c r="AS53" s="20"/>
      <c r="AT53" s="20"/>
      <c r="AU53" s="20"/>
      <c r="AV53" s="20"/>
      <c r="AW53" s="20"/>
      <c r="AX53" s="20"/>
      <c r="AY53" s="20"/>
      <c r="AZ53" s="20"/>
      <c r="BA53" s="20"/>
      <c r="BB53" s="20"/>
      <c r="BC53" s="21"/>
      <c r="BD53" s="21"/>
      <c r="BE53" s="20"/>
    </row>
    <row r="54" spans="1:57" x14ac:dyDescent="0.25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1"/>
      <c r="M54" s="21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  <c r="AE54" s="20"/>
      <c r="AF54" s="20"/>
      <c r="AG54" s="20"/>
      <c r="AH54" s="20"/>
      <c r="AI54" s="20"/>
      <c r="AJ54" s="20"/>
      <c r="AK54" s="20"/>
      <c r="AL54" s="20"/>
      <c r="AM54" s="20"/>
      <c r="AN54" s="20"/>
      <c r="AO54" s="20"/>
      <c r="AP54" s="20"/>
      <c r="AQ54" s="20"/>
      <c r="AR54" s="20"/>
      <c r="AS54" s="20"/>
      <c r="AT54" s="20"/>
      <c r="AU54" s="20"/>
      <c r="AV54" s="20"/>
      <c r="AW54" s="20"/>
      <c r="AX54" s="20"/>
      <c r="AY54" s="20"/>
      <c r="AZ54" s="20"/>
      <c r="BA54" s="20"/>
      <c r="BB54" s="20"/>
      <c r="BC54" s="21"/>
      <c r="BD54" s="21"/>
      <c r="BE54" s="20"/>
    </row>
    <row r="55" spans="1:57" x14ac:dyDescent="0.25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1"/>
      <c r="M55" s="21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  <c r="AE55" s="20"/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  <c r="AQ55" s="20"/>
      <c r="AR55" s="20"/>
      <c r="AS55" s="20"/>
      <c r="AT55" s="20"/>
      <c r="AU55" s="20"/>
      <c r="AV55" s="20"/>
      <c r="AW55" s="20"/>
      <c r="AX55" s="20"/>
      <c r="AY55" s="20"/>
      <c r="AZ55" s="20"/>
      <c r="BA55" s="20"/>
      <c r="BB55" s="20"/>
      <c r="BC55" s="21"/>
      <c r="BD55" s="21"/>
      <c r="BE55" s="20"/>
    </row>
    <row r="56" spans="1:57" x14ac:dyDescent="0.25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1"/>
      <c r="M56" s="21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  <c r="AE56" s="20"/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  <c r="AQ56" s="20"/>
      <c r="AR56" s="20"/>
      <c r="AS56" s="20"/>
      <c r="AT56" s="20"/>
      <c r="AU56" s="20"/>
      <c r="AV56" s="20"/>
      <c r="AW56" s="20"/>
      <c r="AX56" s="20"/>
      <c r="AY56" s="20"/>
      <c r="AZ56" s="20"/>
      <c r="BA56" s="20"/>
      <c r="BB56" s="20"/>
      <c r="BC56" s="21"/>
      <c r="BD56" s="21"/>
      <c r="BE56" s="20"/>
    </row>
    <row r="57" spans="1:57" x14ac:dyDescent="0.25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1"/>
      <c r="M57" s="21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  <c r="AE57" s="20"/>
      <c r="AF57" s="20"/>
      <c r="AG57" s="20"/>
      <c r="AH57" s="20"/>
      <c r="AI57" s="20"/>
      <c r="AJ57" s="20"/>
      <c r="AK57" s="20"/>
      <c r="AL57" s="20"/>
      <c r="AM57" s="20"/>
      <c r="AN57" s="20"/>
      <c r="AO57" s="20"/>
      <c r="AP57" s="20"/>
      <c r="AQ57" s="20"/>
      <c r="AR57" s="20"/>
      <c r="AS57" s="20"/>
      <c r="AT57" s="20"/>
      <c r="AU57" s="20"/>
      <c r="AV57" s="20"/>
      <c r="AW57" s="20"/>
      <c r="AX57" s="20"/>
      <c r="AY57" s="20"/>
      <c r="AZ57" s="20"/>
      <c r="BA57" s="20"/>
      <c r="BB57" s="20"/>
      <c r="BC57" s="21"/>
      <c r="BD57" s="21"/>
      <c r="BE57" s="20"/>
    </row>
    <row r="58" spans="1:57" x14ac:dyDescent="0.25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1"/>
      <c r="M58" s="21"/>
      <c r="N58" s="21"/>
      <c r="O58" s="21"/>
      <c r="P58" s="21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  <c r="AE58" s="20"/>
      <c r="AF58" s="20"/>
      <c r="AG58" s="20"/>
      <c r="AH58" s="20"/>
      <c r="AI58" s="20"/>
      <c r="AJ58" s="20"/>
      <c r="AK58" s="20"/>
      <c r="AL58" s="20"/>
      <c r="AM58" s="20"/>
      <c r="AN58" s="20"/>
      <c r="AO58" s="20"/>
      <c r="AP58" s="20"/>
      <c r="AQ58" s="20"/>
      <c r="AR58" s="20"/>
      <c r="AS58" s="20"/>
      <c r="AT58" s="20"/>
      <c r="AU58" s="20"/>
      <c r="AV58" s="20"/>
      <c r="AW58" s="20"/>
      <c r="AX58" s="20"/>
      <c r="AY58" s="20"/>
      <c r="AZ58" s="20"/>
      <c r="BA58" s="20"/>
      <c r="BB58" s="20"/>
      <c r="BC58" s="21"/>
      <c r="BD58" s="21"/>
      <c r="BE58" s="20"/>
    </row>
    <row r="59" spans="1:57" x14ac:dyDescent="0.25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1"/>
      <c r="M59" s="21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  <c r="AE59" s="20"/>
      <c r="AF59" s="20"/>
      <c r="AG59" s="20"/>
      <c r="AH59" s="20"/>
      <c r="AI59" s="20"/>
      <c r="AJ59" s="20"/>
      <c r="AK59" s="20"/>
      <c r="AL59" s="20"/>
      <c r="AM59" s="20"/>
      <c r="AN59" s="20"/>
      <c r="AO59" s="20"/>
      <c r="AP59" s="20"/>
      <c r="AQ59" s="20"/>
      <c r="AR59" s="20"/>
      <c r="AS59" s="20"/>
      <c r="AT59" s="20"/>
      <c r="AU59" s="20"/>
      <c r="AV59" s="20"/>
      <c r="AW59" s="20"/>
      <c r="AX59" s="20"/>
      <c r="AY59" s="20"/>
      <c r="AZ59" s="20"/>
      <c r="BA59" s="20"/>
      <c r="BB59" s="20"/>
      <c r="BC59" s="21"/>
      <c r="BD59" s="21"/>
      <c r="BE59" s="20"/>
    </row>
    <row r="60" spans="1:57" x14ac:dyDescent="0.25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1"/>
      <c r="M60" s="21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  <c r="AE60" s="20"/>
      <c r="AF60" s="20"/>
      <c r="AG60" s="20"/>
      <c r="AH60" s="20"/>
      <c r="AI60" s="20"/>
      <c r="AJ60" s="20"/>
      <c r="AK60" s="20"/>
      <c r="AL60" s="20"/>
      <c r="AM60" s="20"/>
      <c r="AN60" s="20"/>
      <c r="AO60" s="20"/>
      <c r="AP60" s="20"/>
      <c r="AQ60" s="20"/>
      <c r="AR60" s="20"/>
      <c r="AS60" s="20"/>
      <c r="AT60" s="20"/>
      <c r="AU60" s="20"/>
      <c r="AV60" s="20"/>
      <c r="AW60" s="20"/>
      <c r="AX60" s="20"/>
      <c r="AY60" s="20"/>
      <c r="AZ60" s="20"/>
      <c r="BA60" s="20"/>
      <c r="BB60" s="20"/>
      <c r="BC60" s="21"/>
      <c r="BD60" s="21"/>
      <c r="BE60" s="20"/>
    </row>
    <row r="61" spans="1:57" x14ac:dyDescent="0.25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1"/>
      <c r="M61" s="21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  <c r="AE61" s="20"/>
      <c r="AF61" s="20"/>
      <c r="AG61" s="20"/>
      <c r="AH61" s="20"/>
      <c r="AI61" s="20"/>
      <c r="AJ61" s="20"/>
      <c r="AK61" s="20"/>
      <c r="AL61" s="20"/>
      <c r="AM61" s="20"/>
      <c r="AN61" s="20"/>
      <c r="AO61" s="20"/>
      <c r="AP61" s="20"/>
      <c r="AQ61" s="20"/>
      <c r="AR61" s="20"/>
      <c r="AS61" s="20"/>
      <c r="AT61" s="20"/>
      <c r="AU61" s="20"/>
      <c r="AV61" s="20"/>
      <c r="AW61" s="20"/>
      <c r="AX61" s="20"/>
      <c r="AY61" s="20"/>
      <c r="AZ61" s="20"/>
      <c r="BA61" s="20"/>
      <c r="BB61" s="20"/>
      <c r="BC61" s="21"/>
      <c r="BD61" s="21"/>
      <c r="BE61" s="20"/>
    </row>
    <row r="62" spans="1:57" x14ac:dyDescent="0.25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1"/>
      <c r="M62" s="21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  <c r="AE62" s="20"/>
      <c r="AF62" s="20"/>
      <c r="AG62" s="20"/>
      <c r="AH62" s="20"/>
      <c r="AI62" s="20"/>
      <c r="AJ62" s="20"/>
      <c r="AK62" s="20"/>
      <c r="AL62" s="20"/>
      <c r="AM62" s="20"/>
      <c r="AN62" s="20"/>
      <c r="AO62" s="20"/>
      <c r="AP62" s="20"/>
      <c r="AQ62" s="20"/>
      <c r="AR62" s="20"/>
      <c r="AS62" s="20"/>
      <c r="AT62" s="20"/>
      <c r="AU62" s="20"/>
      <c r="AV62" s="20"/>
      <c r="AW62" s="20"/>
      <c r="AX62" s="20"/>
      <c r="AY62" s="20"/>
      <c r="AZ62" s="20"/>
      <c r="BA62" s="20"/>
      <c r="BB62" s="20"/>
      <c r="BC62" s="21"/>
      <c r="BD62" s="21"/>
      <c r="BE62" s="20"/>
    </row>
    <row r="63" spans="1:57" x14ac:dyDescent="0.25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1"/>
      <c r="M63" s="21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  <c r="AE63" s="20"/>
      <c r="AF63" s="20"/>
      <c r="AG63" s="20"/>
      <c r="AH63" s="20"/>
      <c r="AI63" s="20"/>
      <c r="AJ63" s="20"/>
      <c r="AK63" s="20"/>
      <c r="AL63" s="20"/>
      <c r="AM63" s="20"/>
      <c r="AN63" s="20"/>
      <c r="AO63" s="20"/>
      <c r="AP63" s="20"/>
      <c r="AQ63" s="20"/>
      <c r="AR63" s="20"/>
      <c r="AS63" s="20"/>
      <c r="AT63" s="20"/>
      <c r="AU63" s="20"/>
      <c r="AV63" s="20"/>
      <c r="AW63" s="20"/>
      <c r="AX63" s="20"/>
      <c r="AY63" s="20"/>
      <c r="AZ63" s="20"/>
      <c r="BA63" s="20"/>
      <c r="BB63" s="20"/>
      <c r="BC63" s="21"/>
      <c r="BD63" s="21"/>
      <c r="BE63" s="20"/>
    </row>
    <row r="64" spans="1:57" x14ac:dyDescent="0.25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1"/>
      <c r="M64" s="21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  <c r="AE64" s="20"/>
      <c r="AF64" s="20"/>
      <c r="AG64" s="20"/>
      <c r="AH64" s="20"/>
      <c r="AI64" s="20"/>
      <c r="AJ64" s="20"/>
      <c r="AK64" s="20"/>
      <c r="AL64" s="20"/>
      <c r="AM64" s="20"/>
      <c r="AN64" s="20"/>
      <c r="AO64" s="20"/>
      <c r="AP64" s="20"/>
      <c r="AQ64" s="20"/>
      <c r="AR64" s="20"/>
      <c r="AS64" s="20"/>
      <c r="AT64" s="20"/>
      <c r="AU64" s="20"/>
      <c r="AV64" s="20"/>
      <c r="AW64" s="20"/>
      <c r="AX64" s="20"/>
      <c r="AY64" s="20"/>
      <c r="AZ64" s="20"/>
      <c r="BA64" s="20"/>
      <c r="BB64" s="20"/>
      <c r="BC64" s="21"/>
      <c r="BD64" s="21"/>
      <c r="BE64" s="20"/>
    </row>
    <row r="65" spans="1:57" x14ac:dyDescent="0.25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1"/>
      <c r="M65" s="21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  <c r="AE65" s="20"/>
      <c r="AF65" s="20"/>
      <c r="AG65" s="20"/>
      <c r="AH65" s="20"/>
      <c r="AI65" s="20"/>
      <c r="AJ65" s="20"/>
      <c r="AK65" s="20"/>
      <c r="AL65" s="20"/>
      <c r="AM65" s="20"/>
      <c r="AN65" s="20"/>
      <c r="AO65" s="20"/>
      <c r="AP65" s="20"/>
      <c r="AQ65" s="20"/>
      <c r="AR65" s="20"/>
      <c r="AS65" s="20"/>
      <c r="AT65" s="20"/>
      <c r="AU65" s="20"/>
      <c r="AV65" s="20"/>
      <c r="AW65" s="20"/>
      <c r="AX65" s="20"/>
      <c r="AY65" s="20"/>
      <c r="AZ65" s="20"/>
      <c r="BA65" s="20"/>
      <c r="BB65" s="20"/>
      <c r="BC65" s="21"/>
      <c r="BD65" s="21"/>
      <c r="BE65" s="20"/>
    </row>
    <row r="66" spans="1:57" x14ac:dyDescent="0.25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1"/>
      <c r="M66" s="21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  <c r="AE66" s="20"/>
      <c r="AF66" s="20"/>
      <c r="AG66" s="20"/>
      <c r="AH66" s="20"/>
      <c r="AI66" s="20"/>
      <c r="AJ66" s="20"/>
      <c r="AK66" s="20"/>
      <c r="AL66" s="20"/>
      <c r="AM66" s="20"/>
      <c r="AN66" s="20"/>
      <c r="AO66" s="20"/>
      <c r="AP66" s="20"/>
      <c r="AQ66" s="20"/>
      <c r="AR66" s="20"/>
      <c r="AS66" s="20"/>
      <c r="AT66" s="20"/>
      <c r="AU66" s="20"/>
      <c r="AV66" s="20"/>
      <c r="AW66" s="20"/>
      <c r="AX66" s="20"/>
      <c r="AY66" s="20"/>
      <c r="AZ66" s="20"/>
      <c r="BA66" s="20"/>
      <c r="BB66" s="20"/>
      <c r="BC66" s="21"/>
      <c r="BD66" s="21"/>
      <c r="BE66" s="20"/>
    </row>
    <row r="67" spans="1:57" x14ac:dyDescent="0.25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1"/>
      <c r="M67" s="21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  <c r="AE67" s="20"/>
      <c r="AF67" s="20"/>
      <c r="AG67" s="20"/>
      <c r="AH67" s="20"/>
      <c r="AI67" s="20"/>
      <c r="AJ67" s="20"/>
      <c r="AK67" s="20"/>
      <c r="AL67" s="20"/>
      <c r="AM67" s="20"/>
      <c r="AN67" s="20"/>
      <c r="AO67" s="20"/>
      <c r="AP67" s="20"/>
      <c r="AQ67" s="20"/>
      <c r="AR67" s="20"/>
      <c r="AS67" s="20"/>
      <c r="AT67" s="20"/>
      <c r="AU67" s="20"/>
      <c r="AV67" s="20"/>
      <c r="AW67" s="20"/>
      <c r="AX67" s="20"/>
      <c r="AY67" s="20"/>
      <c r="AZ67" s="20"/>
      <c r="BA67" s="20"/>
      <c r="BB67" s="20"/>
      <c r="BC67" s="21"/>
      <c r="BD67" s="21"/>
      <c r="BE67" s="20"/>
    </row>
    <row r="68" spans="1:57" x14ac:dyDescent="0.25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1"/>
      <c r="M68" s="21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  <c r="AE68" s="20"/>
      <c r="AF68" s="20"/>
      <c r="AG68" s="20"/>
      <c r="AH68" s="20"/>
      <c r="AI68" s="20"/>
      <c r="AJ68" s="20"/>
      <c r="AK68" s="20"/>
      <c r="AL68" s="20"/>
      <c r="AM68" s="20"/>
      <c r="AN68" s="20"/>
      <c r="AO68" s="20"/>
      <c r="AP68" s="20"/>
      <c r="AQ68" s="20"/>
      <c r="AR68" s="20"/>
      <c r="AS68" s="20"/>
      <c r="AT68" s="20"/>
      <c r="AU68" s="20"/>
      <c r="AV68" s="20"/>
      <c r="AW68" s="20"/>
      <c r="AX68" s="20"/>
      <c r="AY68" s="20"/>
      <c r="AZ68" s="20"/>
      <c r="BA68" s="20"/>
      <c r="BB68" s="20"/>
      <c r="BC68" s="21"/>
      <c r="BD68" s="21"/>
      <c r="BE68" s="20"/>
    </row>
    <row r="69" spans="1:57" x14ac:dyDescent="0.25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1"/>
      <c r="M69" s="21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  <c r="AE69" s="20"/>
      <c r="AF69" s="20"/>
      <c r="AG69" s="20"/>
      <c r="AH69" s="20"/>
      <c r="AI69" s="20"/>
      <c r="AJ69" s="20"/>
      <c r="AK69" s="20"/>
      <c r="AL69" s="20"/>
      <c r="AM69" s="20"/>
      <c r="AN69" s="20"/>
      <c r="AO69" s="20"/>
      <c r="AP69" s="20"/>
      <c r="AQ69" s="20"/>
      <c r="AR69" s="20"/>
      <c r="AS69" s="20"/>
      <c r="AT69" s="20"/>
      <c r="AU69" s="20"/>
      <c r="AV69" s="20"/>
      <c r="AW69" s="20"/>
      <c r="AX69" s="20"/>
      <c r="AY69" s="20"/>
      <c r="AZ69" s="20"/>
      <c r="BA69" s="20"/>
      <c r="BB69" s="20"/>
      <c r="BC69" s="21"/>
      <c r="BD69" s="21"/>
      <c r="BE69" s="20"/>
    </row>
    <row r="70" spans="1:57" x14ac:dyDescent="0.25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1"/>
      <c r="M70" s="21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20"/>
      <c r="AL70" s="20"/>
      <c r="AM70" s="20"/>
      <c r="AN70" s="20"/>
      <c r="AO70" s="20"/>
      <c r="AP70" s="20"/>
      <c r="AQ70" s="20"/>
      <c r="AR70" s="20"/>
      <c r="AS70" s="20"/>
      <c r="AT70" s="20"/>
      <c r="AU70" s="20"/>
      <c r="AV70" s="20"/>
      <c r="AW70" s="20"/>
      <c r="AX70" s="20"/>
      <c r="AY70" s="20"/>
      <c r="AZ70" s="20"/>
      <c r="BA70" s="20"/>
      <c r="BB70" s="20"/>
      <c r="BC70" s="21"/>
      <c r="BD70" s="21"/>
      <c r="BE70" s="20"/>
    </row>
    <row r="71" spans="1:57" x14ac:dyDescent="0.25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1"/>
      <c r="M71" s="21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0"/>
      <c r="AL71" s="20"/>
      <c r="AM71" s="20"/>
      <c r="AN71" s="20"/>
      <c r="AO71" s="20"/>
      <c r="AP71" s="20"/>
      <c r="AQ71" s="20"/>
      <c r="AR71" s="20"/>
      <c r="AS71" s="20"/>
      <c r="AT71" s="20"/>
      <c r="AU71" s="20"/>
      <c r="AV71" s="20"/>
      <c r="AW71" s="20"/>
      <c r="AX71" s="20"/>
      <c r="AY71" s="20"/>
      <c r="AZ71" s="20"/>
      <c r="BA71" s="20"/>
      <c r="BB71" s="20"/>
      <c r="BC71" s="21"/>
      <c r="BD71" s="21"/>
      <c r="BE71" s="20"/>
    </row>
    <row r="72" spans="1:57" x14ac:dyDescent="0.25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1"/>
      <c r="M72" s="21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0"/>
      <c r="AL72" s="20"/>
      <c r="AM72" s="20"/>
      <c r="AN72" s="20"/>
      <c r="AO72" s="20"/>
      <c r="AP72" s="20"/>
      <c r="AQ72" s="20"/>
      <c r="AR72" s="20"/>
      <c r="AS72" s="20"/>
      <c r="AT72" s="20"/>
      <c r="AU72" s="20"/>
      <c r="AV72" s="20"/>
      <c r="AW72" s="20"/>
      <c r="AX72" s="20"/>
      <c r="AY72" s="20"/>
      <c r="AZ72" s="20"/>
      <c r="BA72" s="20"/>
      <c r="BB72" s="20"/>
      <c r="BC72" s="21"/>
      <c r="BD72" s="21"/>
      <c r="BE72" s="20"/>
    </row>
    <row r="73" spans="1:57" x14ac:dyDescent="0.25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1"/>
      <c r="M73" s="21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0"/>
      <c r="AL73" s="20"/>
      <c r="AM73" s="20"/>
      <c r="AN73" s="20"/>
      <c r="AO73" s="20"/>
      <c r="AP73" s="20"/>
      <c r="AQ73" s="20"/>
      <c r="AR73" s="20"/>
      <c r="AS73" s="20"/>
      <c r="AT73" s="20"/>
      <c r="AU73" s="20"/>
      <c r="AV73" s="20"/>
      <c r="AW73" s="20"/>
      <c r="AX73" s="20"/>
      <c r="AY73" s="20"/>
      <c r="AZ73" s="20"/>
      <c r="BA73" s="20"/>
      <c r="BB73" s="20"/>
      <c r="BC73" s="21"/>
      <c r="BD73" s="21"/>
      <c r="BE73" s="20"/>
    </row>
    <row r="74" spans="1:57" x14ac:dyDescent="0.25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1"/>
      <c r="M74" s="21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0"/>
      <c r="AL74" s="20"/>
      <c r="AM74" s="20"/>
      <c r="AN74" s="20"/>
      <c r="AO74" s="20"/>
      <c r="AP74" s="20"/>
      <c r="AQ74" s="20"/>
      <c r="AR74" s="20"/>
      <c r="AS74" s="20"/>
      <c r="AT74" s="20"/>
      <c r="AU74" s="20"/>
      <c r="AV74" s="20"/>
      <c r="AW74" s="20"/>
      <c r="AX74" s="20"/>
      <c r="AY74" s="20"/>
      <c r="AZ74" s="20"/>
      <c r="BA74" s="20"/>
      <c r="BB74" s="20"/>
      <c r="BC74" s="21"/>
      <c r="BD74" s="21"/>
      <c r="BE74" s="20"/>
    </row>
    <row r="75" spans="1:57" x14ac:dyDescent="0.25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1"/>
      <c r="M75" s="21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0"/>
      <c r="AL75" s="20"/>
      <c r="AM75" s="20"/>
      <c r="AN75" s="20"/>
      <c r="AO75" s="20"/>
      <c r="AP75" s="20"/>
      <c r="AQ75" s="20"/>
      <c r="AR75" s="20"/>
      <c r="AS75" s="20"/>
      <c r="AT75" s="20"/>
      <c r="AU75" s="20"/>
      <c r="AV75" s="20"/>
      <c r="AW75" s="20"/>
      <c r="AX75" s="20"/>
      <c r="AY75" s="20"/>
      <c r="AZ75" s="20"/>
      <c r="BA75" s="20"/>
      <c r="BB75" s="20"/>
      <c r="BC75" s="21"/>
      <c r="BD75" s="21"/>
      <c r="BE75" s="20"/>
    </row>
    <row r="76" spans="1:57" x14ac:dyDescent="0.25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1"/>
      <c r="M76" s="21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0"/>
      <c r="AL76" s="20"/>
      <c r="AM76" s="20"/>
      <c r="AN76" s="20"/>
      <c r="AO76" s="20"/>
      <c r="AP76" s="20"/>
      <c r="AQ76" s="20"/>
      <c r="AR76" s="20"/>
      <c r="AS76" s="20"/>
      <c r="AT76" s="20"/>
      <c r="AU76" s="20"/>
      <c r="AV76" s="20"/>
      <c r="AW76" s="20"/>
      <c r="AX76" s="20"/>
      <c r="AY76" s="20"/>
      <c r="AZ76" s="20"/>
      <c r="BA76" s="20"/>
      <c r="BB76" s="20"/>
      <c r="BC76" s="21"/>
      <c r="BD76" s="21"/>
      <c r="BE76" s="20"/>
    </row>
    <row r="77" spans="1:57" x14ac:dyDescent="0.25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1"/>
      <c r="M77" s="21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0"/>
      <c r="AL77" s="20"/>
      <c r="AM77" s="20"/>
      <c r="AN77" s="20"/>
      <c r="AO77" s="20"/>
      <c r="AP77" s="20"/>
      <c r="AQ77" s="20"/>
      <c r="AR77" s="20"/>
      <c r="AS77" s="20"/>
      <c r="AT77" s="20"/>
      <c r="AU77" s="20"/>
      <c r="AV77" s="20"/>
      <c r="AW77" s="20"/>
      <c r="AX77" s="20"/>
      <c r="AY77" s="20"/>
      <c r="AZ77" s="20"/>
      <c r="BA77" s="20"/>
      <c r="BB77" s="20"/>
      <c r="BC77" s="21"/>
      <c r="BD77" s="21"/>
      <c r="BE77" s="20"/>
    </row>
    <row r="78" spans="1:57" x14ac:dyDescent="0.25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1"/>
      <c r="M78" s="21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0"/>
      <c r="AL78" s="20"/>
      <c r="AM78" s="20"/>
      <c r="AN78" s="20"/>
      <c r="AO78" s="20"/>
      <c r="AP78" s="20"/>
      <c r="AQ78" s="20"/>
      <c r="AR78" s="20"/>
      <c r="AS78" s="20"/>
      <c r="AT78" s="20"/>
      <c r="AU78" s="20"/>
      <c r="AV78" s="20"/>
      <c r="AW78" s="20"/>
      <c r="AX78" s="20"/>
      <c r="AY78" s="20"/>
      <c r="AZ78" s="20"/>
      <c r="BA78" s="20"/>
      <c r="BB78" s="20"/>
      <c r="BC78" s="21"/>
      <c r="BD78" s="21"/>
      <c r="BE78" s="20"/>
    </row>
    <row r="79" spans="1:57" x14ac:dyDescent="0.25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1"/>
      <c r="M79" s="21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0"/>
      <c r="AL79" s="20"/>
      <c r="AM79" s="20"/>
      <c r="AN79" s="20"/>
      <c r="AO79" s="20"/>
      <c r="AP79" s="20"/>
      <c r="AQ79" s="20"/>
      <c r="AR79" s="20"/>
      <c r="AS79" s="20"/>
      <c r="AT79" s="20"/>
      <c r="AU79" s="20"/>
      <c r="AV79" s="20"/>
      <c r="AW79" s="20"/>
      <c r="AX79" s="20"/>
      <c r="AY79" s="20"/>
      <c r="AZ79" s="20"/>
      <c r="BA79" s="20"/>
      <c r="BB79" s="20"/>
      <c r="BC79" s="21"/>
      <c r="BD79" s="21"/>
      <c r="BE79" s="20"/>
    </row>
    <row r="80" spans="1:57" x14ac:dyDescent="0.25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1"/>
      <c r="M80" s="21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0"/>
      <c r="AL80" s="20"/>
      <c r="AM80" s="20"/>
      <c r="AN80" s="20"/>
      <c r="AO80" s="20"/>
      <c r="AP80" s="20"/>
      <c r="AQ80" s="20"/>
      <c r="AR80" s="20"/>
      <c r="AS80" s="20"/>
      <c r="AT80" s="20"/>
      <c r="AU80" s="20"/>
      <c r="AV80" s="20"/>
      <c r="AW80" s="20"/>
      <c r="AX80" s="20"/>
      <c r="AY80" s="20"/>
      <c r="AZ80" s="20"/>
      <c r="BA80" s="20"/>
      <c r="BB80" s="20"/>
      <c r="BC80" s="21"/>
      <c r="BD80" s="21"/>
      <c r="BE80" s="20"/>
    </row>
    <row r="81" spans="1:57" x14ac:dyDescent="0.25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1"/>
      <c r="M81" s="21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0"/>
      <c r="AL81" s="20"/>
      <c r="AM81" s="20"/>
      <c r="AN81" s="20"/>
      <c r="AO81" s="20"/>
      <c r="AP81" s="20"/>
      <c r="AQ81" s="20"/>
      <c r="AR81" s="20"/>
      <c r="AS81" s="20"/>
      <c r="AT81" s="20"/>
      <c r="AU81" s="20"/>
      <c r="AV81" s="20"/>
      <c r="AW81" s="20"/>
      <c r="AX81" s="20"/>
      <c r="AY81" s="20"/>
      <c r="AZ81" s="20"/>
      <c r="BA81" s="20"/>
      <c r="BB81" s="20"/>
      <c r="BC81" s="21"/>
      <c r="BD81" s="21"/>
      <c r="BE81" s="20"/>
    </row>
    <row r="82" spans="1:57" x14ac:dyDescent="0.25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1"/>
      <c r="M82" s="21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0"/>
      <c r="AL82" s="20"/>
      <c r="AM82" s="20"/>
      <c r="AN82" s="20"/>
      <c r="AO82" s="20"/>
      <c r="AP82" s="20"/>
      <c r="AQ82" s="20"/>
      <c r="AR82" s="20"/>
      <c r="AS82" s="20"/>
      <c r="AT82" s="20"/>
      <c r="AU82" s="20"/>
      <c r="AV82" s="20"/>
      <c r="AW82" s="20"/>
      <c r="AX82" s="20"/>
      <c r="AY82" s="20"/>
      <c r="AZ82" s="20"/>
      <c r="BA82" s="20"/>
      <c r="BB82" s="20"/>
      <c r="BC82" s="21"/>
      <c r="BD82" s="21"/>
      <c r="BE82" s="20"/>
    </row>
    <row r="83" spans="1:57" x14ac:dyDescent="0.25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1"/>
      <c r="M83" s="21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0"/>
      <c r="AL83" s="20"/>
      <c r="AM83" s="20"/>
      <c r="AN83" s="20"/>
      <c r="AO83" s="20"/>
      <c r="AP83" s="20"/>
      <c r="AQ83" s="20"/>
      <c r="AR83" s="20"/>
      <c r="AS83" s="20"/>
      <c r="AT83" s="20"/>
      <c r="AU83" s="20"/>
      <c r="AV83" s="20"/>
      <c r="AW83" s="20"/>
      <c r="AX83" s="20"/>
      <c r="AY83" s="20"/>
      <c r="AZ83" s="20"/>
      <c r="BA83" s="20"/>
      <c r="BB83" s="20"/>
      <c r="BC83" s="21"/>
      <c r="BD83" s="21"/>
      <c r="BE83" s="20"/>
    </row>
    <row r="84" spans="1:57" x14ac:dyDescent="0.25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1"/>
      <c r="M84" s="21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0"/>
      <c r="AL84" s="20"/>
      <c r="AM84" s="20"/>
      <c r="AN84" s="20"/>
      <c r="AO84" s="20"/>
      <c r="AP84" s="20"/>
      <c r="AQ84" s="20"/>
      <c r="AR84" s="20"/>
      <c r="AS84" s="20"/>
      <c r="AT84" s="20"/>
      <c r="AU84" s="20"/>
      <c r="AV84" s="20"/>
      <c r="AW84" s="20"/>
      <c r="AX84" s="20"/>
      <c r="AY84" s="20"/>
      <c r="AZ84" s="20"/>
      <c r="BA84" s="20"/>
      <c r="BB84" s="20"/>
      <c r="BC84" s="21"/>
      <c r="BD84" s="21"/>
      <c r="BE84" s="20"/>
    </row>
    <row r="85" spans="1:57" x14ac:dyDescent="0.25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1"/>
      <c r="M85" s="21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0"/>
      <c r="AL85" s="20"/>
      <c r="AM85" s="20"/>
      <c r="AN85" s="20"/>
      <c r="AO85" s="20"/>
      <c r="AP85" s="20"/>
      <c r="AQ85" s="20"/>
      <c r="AR85" s="20"/>
      <c r="AS85" s="20"/>
      <c r="AT85" s="20"/>
      <c r="AU85" s="20"/>
      <c r="AV85" s="20"/>
      <c r="AW85" s="20"/>
      <c r="AX85" s="20"/>
      <c r="AY85" s="20"/>
      <c r="AZ85" s="20"/>
      <c r="BA85" s="20"/>
      <c r="BB85" s="20"/>
      <c r="BC85" s="21"/>
      <c r="BD85" s="21"/>
      <c r="BE85" s="20"/>
    </row>
    <row r="86" spans="1:57" x14ac:dyDescent="0.25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1"/>
      <c r="M86" s="21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0"/>
      <c r="AL86" s="20"/>
      <c r="AM86" s="20"/>
      <c r="AN86" s="20"/>
      <c r="AO86" s="20"/>
      <c r="AP86" s="20"/>
      <c r="AQ86" s="20"/>
      <c r="AR86" s="20"/>
      <c r="AS86" s="20"/>
      <c r="AT86" s="20"/>
      <c r="AU86" s="20"/>
      <c r="AV86" s="20"/>
      <c r="AW86" s="20"/>
      <c r="AX86" s="20"/>
      <c r="AY86" s="20"/>
      <c r="AZ86" s="20"/>
      <c r="BA86" s="20"/>
      <c r="BB86" s="20"/>
      <c r="BC86" s="21"/>
      <c r="BD86" s="21"/>
      <c r="BE86" s="20"/>
    </row>
    <row r="87" spans="1:57" x14ac:dyDescent="0.25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1"/>
      <c r="M87" s="21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0"/>
      <c r="AL87" s="20"/>
      <c r="AM87" s="20"/>
      <c r="AN87" s="20"/>
      <c r="AO87" s="20"/>
      <c r="AP87" s="20"/>
      <c r="AQ87" s="20"/>
      <c r="AR87" s="20"/>
      <c r="AS87" s="20"/>
      <c r="AT87" s="20"/>
      <c r="AU87" s="20"/>
      <c r="AV87" s="20"/>
      <c r="AW87" s="20"/>
      <c r="AX87" s="20"/>
      <c r="AY87" s="20"/>
      <c r="AZ87" s="20"/>
      <c r="BA87" s="20"/>
      <c r="BB87" s="20"/>
      <c r="BC87" s="21"/>
      <c r="BD87" s="21"/>
      <c r="BE87" s="20"/>
    </row>
    <row r="88" spans="1:57" x14ac:dyDescent="0.25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1"/>
      <c r="M88" s="21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0"/>
      <c r="AL88" s="20"/>
      <c r="AM88" s="20"/>
      <c r="AN88" s="20"/>
      <c r="AO88" s="20"/>
      <c r="AP88" s="20"/>
      <c r="AQ88" s="20"/>
      <c r="AR88" s="20"/>
      <c r="AS88" s="20"/>
      <c r="AT88" s="20"/>
      <c r="AU88" s="20"/>
      <c r="AV88" s="20"/>
      <c r="AW88" s="20"/>
      <c r="AX88" s="20"/>
      <c r="AY88" s="20"/>
      <c r="AZ88" s="20"/>
      <c r="BA88" s="20"/>
      <c r="BB88" s="20"/>
      <c r="BC88" s="21"/>
      <c r="BD88" s="21"/>
      <c r="BE88" s="20"/>
    </row>
    <row r="89" spans="1:57" x14ac:dyDescent="0.25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1"/>
      <c r="M89" s="21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0"/>
      <c r="AL89" s="20"/>
      <c r="AM89" s="20"/>
      <c r="AN89" s="20"/>
      <c r="AO89" s="20"/>
      <c r="AP89" s="20"/>
      <c r="AQ89" s="20"/>
      <c r="AR89" s="20"/>
      <c r="AS89" s="20"/>
      <c r="AT89" s="20"/>
      <c r="AU89" s="20"/>
      <c r="AV89" s="20"/>
      <c r="AW89" s="20"/>
      <c r="AX89" s="20"/>
      <c r="AY89" s="20"/>
      <c r="AZ89" s="20"/>
      <c r="BA89" s="20"/>
      <c r="BB89" s="20"/>
      <c r="BC89" s="21"/>
      <c r="BD89" s="21"/>
      <c r="BE89" s="20"/>
    </row>
    <row r="90" spans="1:57" x14ac:dyDescent="0.25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1"/>
      <c r="M90" s="21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0"/>
      <c r="AL90" s="20"/>
      <c r="AM90" s="20"/>
      <c r="AN90" s="20"/>
      <c r="AO90" s="20"/>
      <c r="AP90" s="20"/>
      <c r="AQ90" s="20"/>
      <c r="AR90" s="20"/>
      <c r="AS90" s="20"/>
      <c r="AT90" s="20"/>
      <c r="AU90" s="20"/>
      <c r="AV90" s="20"/>
      <c r="AW90" s="20"/>
      <c r="AX90" s="20"/>
      <c r="AY90" s="20"/>
      <c r="AZ90" s="20"/>
      <c r="BA90" s="20"/>
      <c r="BB90" s="20"/>
      <c r="BC90" s="21"/>
      <c r="BD90" s="21"/>
      <c r="BE90" s="20"/>
    </row>
    <row r="91" spans="1:57" x14ac:dyDescent="0.25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1"/>
      <c r="M91" s="21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0"/>
      <c r="AL91" s="20"/>
      <c r="AM91" s="20"/>
      <c r="AN91" s="20"/>
      <c r="AO91" s="20"/>
      <c r="AP91" s="20"/>
      <c r="AQ91" s="20"/>
      <c r="AR91" s="20"/>
      <c r="AS91" s="20"/>
      <c r="AT91" s="20"/>
      <c r="AU91" s="20"/>
      <c r="AV91" s="20"/>
      <c r="AW91" s="20"/>
      <c r="AX91" s="20"/>
      <c r="AY91" s="20"/>
      <c r="AZ91" s="20"/>
      <c r="BA91" s="20"/>
      <c r="BB91" s="20"/>
      <c r="BC91" s="21"/>
      <c r="BD91" s="21"/>
      <c r="BE91" s="20"/>
    </row>
    <row r="92" spans="1:57" x14ac:dyDescent="0.25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1"/>
      <c r="M92" s="21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0"/>
      <c r="AL92" s="20"/>
      <c r="AM92" s="20"/>
      <c r="AN92" s="20"/>
      <c r="AO92" s="20"/>
      <c r="AP92" s="20"/>
      <c r="AQ92" s="20"/>
      <c r="AR92" s="20"/>
      <c r="AS92" s="20"/>
      <c r="AT92" s="20"/>
      <c r="AU92" s="20"/>
      <c r="AV92" s="20"/>
      <c r="AW92" s="20"/>
      <c r="AX92" s="20"/>
      <c r="AY92" s="20"/>
      <c r="AZ92" s="20"/>
      <c r="BA92" s="20"/>
      <c r="BB92" s="20"/>
      <c r="BC92" s="21"/>
      <c r="BD92" s="21"/>
      <c r="BE92" s="20"/>
    </row>
    <row r="93" spans="1:57" x14ac:dyDescent="0.25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1"/>
      <c r="M93" s="21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0"/>
      <c r="AL93" s="20"/>
      <c r="AM93" s="20"/>
      <c r="AN93" s="20"/>
      <c r="AO93" s="20"/>
      <c r="AP93" s="20"/>
      <c r="AQ93" s="20"/>
      <c r="AR93" s="20"/>
      <c r="AS93" s="20"/>
      <c r="AT93" s="20"/>
      <c r="AU93" s="20"/>
      <c r="AV93" s="20"/>
      <c r="AW93" s="20"/>
      <c r="AX93" s="20"/>
      <c r="AY93" s="20"/>
      <c r="AZ93" s="20"/>
      <c r="BA93" s="20"/>
      <c r="BB93" s="20"/>
      <c r="BC93" s="21"/>
      <c r="BD93" s="21"/>
      <c r="BE93" s="20"/>
    </row>
    <row r="94" spans="1:57" x14ac:dyDescent="0.25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1"/>
      <c r="M94" s="21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0"/>
      <c r="AL94" s="20"/>
      <c r="AM94" s="20"/>
      <c r="AN94" s="20"/>
      <c r="AO94" s="20"/>
      <c r="AP94" s="20"/>
      <c r="AQ94" s="20"/>
      <c r="AR94" s="20"/>
      <c r="AS94" s="20"/>
      <c r="AT94" s="20"/>
      <c r="AU94" s="20"/>
      <c r="AV94" s="20"/>
      <c r="AW94" s="20"/>
      <c r="AX94" s="20"/>
      <c r="AY94" s="20"/>
      <c r="AZ94" s="20"/>
      <c r="BA94" s="20"/>
      <c r="BB94" s="20"/>
      <c r="BC94" s="21"/>
      <c r="BD94" s="21"/>
      <c r="BE94" s="20"/>
    </row>
    <row r="95" spans="1:57" x14ac:dyDescent="0.25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1"/>
      <c r="M95" s="21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0"/>
      <c r="AL95" s="20"/>
      <c r="AM95" s="20"/>
      <c r="AN95" s="20"/>
      <c r="AO95" s="20"/>
      <c r="AP95" s="20"/>
      <c r="AQ95" s="20"/>
      <c r="AR95" s="20"/>
      <c r="AS95" s="20"/>
      <c r="AT95" s="20"/>
      <c r="AU95" s="20"/>
      <c r="AV95" s="20"/>
      <c r="AW95" s="20"/>
      <c r="AX95" s="20"/>
      <c r="AY95" s="20"/>
      <c r="AZ95" s="20"/>
      <c r="BA95" s="20"/>
      <c r="BB95" s="20"/>
      <c r="BC95" s="21"/>
      <c r="BD95" s="21"/>
      <c r="BE95" s="20"/>
    </row>
    <row r="96" spans="1:57" x14ac:dyDescent="0.25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1"/>
      <c r="M96" s="21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  <c r="AE96" s="20"/>
      <c r="AF96" s="20"/>
      <c r="AG96" s="20"/>
      <c r="AH96" s="20"/>
      <c r="AI96" s="20"/>
      <c r="AJ96" s="20"/>
      <c r="AK96" s="20"/>
      <c r="AL96" s="20"/>
      <c r="AM96" s="20"/>
      <c r="AN96" s="20"/>
      <c r="AO96" s="20"/>
      <c r="AP96" s="20"/>
      <c r="AQ96" s="20"/>
      <c r="AR96" s="20"/>
      <c r="AS96" s="20"/>
      <c r="AT96" s="20"/>
      <c r="AU96" s="20"/>
      <c r="AV96" s="20"/>
      <c r="AW96" s="20"/>
      <c r="AX96" s="20"/>
      <c r="AY96" s="20"/>
      <c r="AZ96" s="20"/>
      <c r="BA96" s="20"/>
      <c r="BB96" s="20"/>
      <c r="BC96" s="21"/>
      <c r="BD96" s="21"/>
      <c r="BE96" s="20"/>
    </row>
    <row r="97" spans="1:57" x14ac:dyDescent="0.25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1"/>
      <c r="M97" s="21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  <c r="AE97" s="20"/>
      <c r="AF97" s="20"/>
      <c r="AG97" s="20"/>
      <c r="AH97" s="20"/>
      <c r="AI97" s="20"/>
      <c r="AJ97" s="20"/>
      <c r="AK97" s="20"/>
      <c r="AL97" s="20"/>
      <c r="AM97" s="20"/>
      <c r="AN97" s="20"/>
      <c r="AO97" s="20"/>
      <c r="AP97" s="20"/>
      <c r="AQ97" s="20"/>
      <c r="AR97" s="20"/>
      <c r="AS97" s="20"/>
      <c r="AT97" s="20"/>
      <c r="AU97" s="20"/>
      <c r="AV97" s="20"/>
      <c r="AW97" s="20"/>
      <c r="AX97" s="20"/>
      <c r="AY97" s="20"/>
      <c r="AZ97" s="20"/>
      <c r="BA97" s="20"/>
      <c r="BB97" s="20"/>
      <c r="BC97" s="21"/>
      <c r="BD97" s="21"/>
      <c r="BE97" s="20"/>
    </row>
    <row r="98" spans="1:57" x14ac:dyDescent="0.25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1"/>
      <c r="M98" s="21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  <c r="AE98" s="20"/>
      <c r="AF98" s="20"/>
      <c r="AG98" s="20"/>
      <c r="AH98" s="20"/>
      <c r="AI98" s="20"/>
      <c r="AJ98" s="20"/>
      <c r="AK98" s="20"/>
      <c r="AL98" s="20"/>
      <c r="AM98" s="20"/>
      <c r="AN98" s="20"/>
      <c r="AO98" s="20"/>
      <c r="AP98" s="20"/>
      <c r="AQ98" s="20"/>
      <c r="AR98" s="20"/>
      <c r="AS98" s="20"/>
      <c r="AT98" s="20"/>
      <c r="AU98" s="20"/>
      <c r="AV98" s="20"/>
      <c r="AW98" s="20"/>
      <c r="AX98" s="20"/>
      <c r="AY98" s="20"/>
      <c r="AZ98" s="20"/>
      <c r="BA98" s="20"/>
      <c r="BB98" s="20"/>
      <c r="BC98" s="21"/>
      <c r="BD98" s="21"/>
      <c r="BE98" s="20"/>
    </row>
    <row r="99" spans="1:57" x14ac:dyDescent="0.25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1"/>
      <c r="M99" s="21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  <c r="AE99" s="20"/>
      <c r="AF99" s="20"/>
      <c r="AG99" s="20"/>
      <c r="AH99" s="20"/>
      <c r="AI99" s="20"/>
      <c r="AJ99" s="20"/>
      <c r="AK99" s="20"/>
      <c r="AL99" s="20"/>
      <c r="AM99" s="20"/>
      <c r="AN99" s="20"/>
      <c r="AO99" s="20"/>
      <c r="AP99" s="20"/>
      <c r="AQ99" s="20"/>
      <c r="AR99" s="20"/>
      <c r="AS99" s="20"/>
      <c r="AT99" s="20"/>
      <c r="AU99" s="20"/>
      <c r="AV99" s="20"/>
      <c r="AW99" s="20"/>
      <c r="AX99" s="20"/>
      <c r="AY99" s="20"/>
      <c r="AZ99" s="20"/>
      <c r="BA99" s="20"/>
      <c r="BB99" s="20"/>
      <c r="BC99" s="21"/>
      <c r="BD99" s="21"/>
      <c r="BE99" s="20"/>
    </row>
    <row r="100" spans="1:57" x14ac:dyDescent="0.25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1"/>
      <c r="M100" s="21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  <c r="AE100" s="20"/>
      <c r="AF100" s="20"/>
      <c r="AG100" s="20"/>
      <c r="AH100" s="20"/>
      <c r="AI100" s="20"/>
      <c r="AJ100" s="20"/>
      <c r="AK100" s="20"/>
      <c r="AL100" s="20"/>
      <c r="AM100" s="20"/>
      <c r="AN100" s="20"/>
      <c r="AO100" s="20"/>
      <c r="AP100" s="20"/>
      <c r="AQ100" s="20"/>
      <c r="AR100" s="20"/>
      <c r="AS100" s="20"/>
      <c r="AT100" s="20"/>
      <c r="AU100" s="20"/>
      <c r="AV100" s="20"/>
      <c r="AW100" s="20"/>
      <c r="AX100" s="20"/>
      <c r="AY100" s="20"/>
      <c r="AZ100" s="20"/>
      <c r="BA100" s="20"/>
      <c r="BB100" s="20"/>
      <c r="BC100" s="21"/>
      <c r="BD100" s="21"/>
      <c r="BE100" s="20"/>
    </row>
    <row r="101" spans="1:57" x14ac:dyDescent="0.25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1"/>
      <c r="M101" s="21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  <c r="AE101" s="20"/>
      <c r="AF101" s="20"/>
      <c r="AG101" s="20"/>
      <c r="AH101" s="20"/>
      <c r="AI101" s="20"/>
      <c r="AJ101" s="20"/>
      <c r="AK101" s="20"/>
      <c r="AL101" s="20"/>
      <c r="AM101" s="20"/>
      <c r="AN101" s="20"/>
      <c r="AO101" s="20"/>
      <c r="AP101" s="20"/>
      <c r="AQ101" s="20"/>
      <c r="AR101" s="20"/>
      <c r="AS101" s="20"/>
      <c r="AT101" s="20"/>
      <c r="AU101" s="20"/>
      <c r="AV101" s="20"/>
      <c r="AW101" s="20"/>
      <c r="AX101" s="20"/>
      <c r="AY101" s="20"/>
      <c r="AZ101" s="20"/>
      <c r="BA101" s="20"/>
      <c r="BB101" s="20"/>
      <c r="BC101" s="21"/>
      <c r="BD101" s="21"/>
      <c r="BE101" s="20"/>
    </row>
    <row r="102" spans="1:57" x14ac:dyDescent="0.25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1"/>
      <c r="M102" s="21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  <c r="AE102" s="20"/>
      <c r="AF102" s="20"/>
      <c r="AG102" s="20"/>
      <c r="AH102" s="20"/>
      <c r="AI102" s="20"/>
      <c r="AJ102" s="20"/>
      <c r="AK102" s="20"/>
      <c r="AL102" s="20"/>
      <c r="AM102" s="20"/>
      <c r="AN102" s="20"/>
      <c r="AO102" s="20"/>
      <c r="AP102" s="20"/>
      <c r="AQ102" s="20"/>
      <c r="AR102" s="20"/>
      <c r="AS102" s="20"/>
      <c r="AT102" s="20"/>
      <c r="AU102" s="20"/>
      <c r="AV102" s="20"/>
      <c r="AW102" s="20"/>
      <c r="AX102" s="20"/>
      <c r="AY102" s="20"/>
      <c r="AZ102" s="20"/>
      <c r="BA102" s="20"/>
      <c r="BB102" s="20"/>
      <c r="BC102" s="21"/>
      <c r="BD102" s="21"/>
      <c r="BE102" s="20"/>
    </row>
    <row r="103" spans="1:57" x14ac:dyDescent="0.25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1"/>
      <c r="M103" s="21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  <c r="AE103" s="20"/>
      <c r="AF103" s="20"/>
      <c r="AG103" s="20"/>
      <c r="AH103" s="20"/>
      <c r="AI103" s="20"/>
      <c r="AJ103" s="20"/>
      <c r="AK103" s="20"/>
      <c r="AL103" s="20"/>
      <c r="AM103" s="20"/>
      <c r="AN103" s="20"/>
      <c r="AO103" s="20"/>
      <c r="AP103" s="20"/>
      <c r="AQ103" s="20"/>
      <c r="AR103" s="20"/>
      <c r="AS103" s="20"/>
      <c r="AT103" s="20"/>
      <c r="AU103" s="20"/>
      <c r="AV103" s="20"/>
      <c r="AW103" s="20"/>
      <c r="AX103" s="20"/>
      <c r="AY103" s="20"/>
      <c r="AZ103" s="20"/>
      <c r="BA103" s="20"/>
      <c r="BB103" s="20"/>
      <c r="BC103" s="21"/>
      <c r="BD103" s="21"/>
      <c r="BE103" s="20"/>
    </row>
    <row r="104" spans="1:57" x14ac:dyDescent="0.25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1"/>
      <c r="M104" s="21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  <c r="AH104" s="20"/>
      <c r="AI104" s="20"/>
      <c r="AJ104" s="20"/>
      <c r="AK104" s="20"/>
      <c r="AL104" s="20"/>
      <c r="AM104" s="20"/>
      <c r="AN104" s="20"/>
      <c r="AO104" s="20"/>
      <c r="AP104" s="20"/>
      <c r="AQ104" s="20"/>
      <c r="AR104" s="20"/>
      <c r="AS104" s="20"/>
      <c r="AT104" s="20"/>
      <c r="AU104" s="20"/>
      <c r="AV104" s="20"/>
      <c r="AW104" s="20"/>
      <c r="AX104" s="20"/>
      <c r="AY104" s="20"/>
      <c r="AZ104" s="20"/>
      <c r="BA104" s="20"/>
      <c r="BB104" s="20"/>
      <c r="BC104" s="21"/>
      <c r="BD104" s="21"/>
      <c r="BE104" s="20"/>
    </row>
    <row r="105" spans="1:57" x14ac:dyDescent="0.25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1"/>
      <c r="M105" s="21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  <c r="AE105" s="20"/>
      <c r="AF105" s="20"/>
      <c r="AG105" s="20"/>
      <c r="AH105" s="20"/>
      <c r="AI105" s="20"/>
      <c r="AJ105" s="20"/>
      <c r="AK105" s="20"/>
      <c r="AL105" s="20"/>
      <c r="AM105" s="20"/>
      <c r="AN105" s="20"/>
      <c r="AO105" s="20"/>
      <c r="AP105" s="20"/>
      <c r="AQ105" s="20"/>
      <c r="AR105" s="20"/>
      <c r="AS105" s="20"/>
      <c r="AT105" s="20"/>
      <c r="AU105" s="20"/>
      <c r="AV105" s="20"/>
      <c r="AW105" s="20"/>
      <c r="AX105" s="20"/>
      <c r="AY105" s="20"/>
      <c r="AZ105" s="20"/>
      <c r="BA105" s="20"/>
      <c r="BB105" s="20"/>
      <c r="BC105" s="21"/>
      <c r="BD105" s="21"/>
      <c r="BE105" s="20"/>
    </row>
    <row r="106" spans="1:57" x14ac:dyDescent="0.25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1"/>
      <c r="M106" s="21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  <c r="AE106" s="20"/>
      <c r="AF106" s="20"/>
      <c r="AG106" s="20"/>
      <c r="AH106" s="20"/>
      <c r="AI106" s="20"/>
      <c r="AJ106" s="20"/>
      <c r="AK106" s="20"/>
      <c r="AL106" s="20"/>
      <c r="AM106" s="20"/>
      <c r="AN106" s="20"/>
      <c r="AO106" s="20"/>
      <c r="AP106" s="20"/>
      <c r="AQ106" s="20"/>
      <c r="AR106" s="20"/>
      <c r="AS106" s="20"/>
      <c r="AT106" s="20"/>
      <c r="AU106" s="20"/>
      <c r="AV106" s="20"/>
      <c r="AW106" s="20"/>
      <c r="AX106" s="20"/>
      <c r="AY106" s="20"/>
      <c r="AZ106" s="20"/>
      <c r="BA106" s="20"/>
      <c r="BB106" s="20"/>
      <c r="BC106" s="21"/>
      <c r="BD106" s="21"/>
      <c r="BE106" s="20"/>
    </row>
    <row r="107" spans="1:57" x14ac:dyDescent="0.25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1"/>
      <c r="M107" s="21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  <c r="AE107" s="20"/>
      <c r="AF107" s="20"/>
      <c r="AG107" s="20"/>
      <c r="AH107" s="20"/>
      <c r="AI107" s="20"/>
      <c r="AJ107" s="20"/>
      <c r="AK107" s="20"/>
      <c r="AL107" s="20"/>
      <c r="AM107" s="20"/>
      <c r="AN107" s="20"/>
      <c r="AO107" s="20"/>
      <c r="AP107" s="20"/>
      <c r="AQ107" s="20"/>
      <c r="AR107" s="20"/>
      <c r="AS107" s="20"/>
      <c r="AT107" s="20"/>
      <c r="AU107" s="20"/>
      <c r="AV107" s="20"/>
      <c r="AW107" s="20"/>
      <c r="AX107" s="20"/>
      <c r="AY107" s="20"/>
      <c r="AZ107" s="20"/>
      <c r="BA107" s="20"/>
      <c r="BB107" s="20"/>
      <c r="BC107" s="21"/>
      <c r="BD107" s="21"/>
      <c r="BE107" s="20"/>
    </row>
    <row r="108" spans="1:57" x14ac:dyDescent="0.25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1"/>
      <c r="M108" s="21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  <c r="AE108" s="20"/>
      <c r="AF108" s="20"/>
      <c r="AG108" s="20"/>
      <c r="AH108" s="20"/>
      <c r="AI108" s="20"/>
      <c r="AJ108" s="20"/>
      <c r="AK108" s="20"/>
      <c r="AL108" s="20"/>
      <c r="AM108" s="20"/>
      <c r="AN108" s="20"/>
      <c r="AO108" s="20"/>
      <c r="AP108" s="20"/>
      <c r="AQ108" s="20"/>
      <c r="AR108" s="20"/>
      <c r="AS108" s="20"/>
      <c r="AT108" s="20"/>
      <c r="AU108" s="20"/>
      <c r="AV108" s="20"/>
      <c r="AW108" s="20"/>
      <c r="AX108" s="20"/>
      <c r="AY108" s="20"/>
      <c r="AZ108" s="20"/>
      <c r="BA108" s="20"/>
      <c r="BB108" s="20"/>
      <c r="BC108" s="21"/>
      <c r="BD108" s="21"/>
      <c r="BE108" s="20"/>
    </row>
    <row r="109" spans="1:57" x14ac:dyDescent="0.25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1"/>
      <c r="M109" s="21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  <c r="AE109" s="20"/>
      <c r="AF109" s="20"/>
      <c r="AG109" s="20"/>
      <c r="AH109" s="20"/>
      <c r="AI109" s="20"/>
      <c r="AJ109" s="20"/>
      <c r="AK109" s="20"/>
      <c r="AL109" s="20"/>
      <c r="AM109" s="20"/>
      <c r="AN109" s="20"/>
      <c r="AO109" s="20"/>
      <c r="AP109" s="20"/>
      <c r="AQ109" s="20"/>
      <c r="AR109" s="20"/>
      <c r="AS109" s="20"/>
      <c r="AT109" s="20"/>
      <c r="AU109" s="20"/>
      <c r="AV109" s="20"/>
      <c r="AW109" s="20"/>
      <c r="AX109" s="20"/>
      <c r="AY109" s="20"/>
      <c r="AZ109" s="20"/>
      <c r="BA109" s="20"/>
      <c r="BB109" s="20"/>
      <c r="BC109" s="21"/>
      <c r="BD109" s="21"/>
      <c r="BE109" s="20"/>
    </row>
    <row r="110" spans="1:57" x14ac:dyDescent="0.25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1"/>
      <c r="M110" s="21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  <c r="AE110" s="20"/>
      <c r="AF110" s="20"/>
      <c r="AG110" s="20"/>
      <c r="AH110" s="20"/>
      <c r="AI110" s="20"/>
      <c r="AJ110" s="20"/>
      <c r="AK110" s="20"/>
      <c r="AL110" s="20"/>
      <c r="AM110" s="20"/>
      <c r="AN110" s="20"/>
      <c r="AO110" s="20"/>
      <c r="AP110" s="20"/>
      <c r="AQ110" s="20"/>
      <c r="AR110" s="20"/>
      <c r="AS110" s="20"/>
      <c r="AT110" s="20"/>
      <c r="AU110" s="20"/>
      <c r="AV110" s="20"/>
      <c r="AW110" s="20"/>
      <c r="AX110" s="20"/>
      <c r="AY110" s="20"/>
      <c r="AZ110" s="20"/>
      <c r="BA110" s="20"/>
      <c r="BB110" s="20"/>
      <c r="BC110" s="21"/>
      <c r="BD110" s="21"/>
      <c r="BE110" s="20"/>
    </row>
    <row r="111" spans="1:57" x14ac:dyDescent="0.25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1"/>
      <c r="M111" s="21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  <c r="AE111" s="20"/>
      <c r="AF111" s="20"/>
      <c r="AG111" s="20"/>
      <c r="AH111" s="20"/>
      <c r="AI111" s="20"/>
      <c r="AJ111" s="20"/>
      <c r="AK111" s="20"/>
      <c r="AL111" s="20"/>
      <c r="AM111" s="20"/>
      <c r="AN111" s="20"/>
      <c r="AO111" s="20"/>
      <c r="AP111" s="20"/>
      <c r="AQ111" s="20"/>
      <c r="AR111" s="20"/>
      <c r="AS111" s="20"/>
      <c r="AT111" s="20"/>
      <c r="AU111" s="20"/>
      <c r="AV111" s="20"/>
      <c r="AW111" s="20"/>
      <c r="AX111" s="20"/>
      <c r="AY111" s="20"/>
      <c r="AZ111" s="20"/>
      <c r="BA111" s="20"/>
      <c r="BB111" s="20"/>
      <c r="BC111" s="21"/>
      <c r="BD111" s="21"/>
      <c r="BE111" s="20"/>
    </row>
    <row r="112" spans="1:57" x14ac:dyDescent="0.25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1"/>
      <c r="M112" s="21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  <c r="AE112" s="20"/>
      <c r="AF112" s="20"/>
      <c r="AG112" s="20"/>
      <c r="AH112" s="20"/>
      <c r="AI112" s="20"/>
      <c r="AJ112" s="20"/>
      <c r="AK112" s="20"/>
      <c r="AL112" s="20"/>
      <c r="AM112" s="20"/>
      <c r="AN112" s="20"/>
      <c r="AO112" s="20"/>
      <c r="AP112" s="20"/>
      <c r="AQ112" s="20"/>
      <c r="AR112" s="20"/>
      <c r="AS112" s="20"/>
      <c r="AT112" s="20"/>
      <c r="AU112" s="20"/>
      <c r="AV112" s="20"/>
      <c r="AW112" s="20"/>
      <c r="AX112" s="20"/>
      <c r="AY112" s="20"/>
      <c r="AZ112" s="20"/>
      <c r="BA112" s="20"/>
      <c r="BB112" s="20"/>
      <c r="BC112" s="21"/>
      <c r="BD112" s="21"/>
      <c r="BE112" s="20"/>
    </row>
    <row r="113" spans="1:57" x14ac:dyDescent="0.25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1"/>
      <c r="M113" s="21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  <c r="AE113" s="20"/>
      <c r="AF113" s="20"/>
      <c r="AG113" s="20"/>
      <c r="AH113" s="20"/>
      <c r="AI113" s="20"/>
      <c r="AJ113" s="20"/>
      <c r="AK113" s="20"/>
      <c r="AL113" s="20"/>
      <c r="AM113" s="20"/>
      <c r="AN113" s="20"/>
      <c r="AO113" s="20"/>
      <c r="AP113" s="20"/>
      <c r="AQ113" s="20"/>
      <c r="AR113" s="20"/>
      <c r="AS113" s="20"/>
      <c r="AT113" s="20"/>
      <c r="AU113" s="20"/>
      <c r="AV113" s="20"/>
      <c r="AW113" s="20"/>
      <c r="AX113" s="20"/>
      <c r="AY113" s="20"/>
      <c r="AZ113" s="20"/>
      <c r="BA113" s="20"/>
      <c r="BB113" s="20"/>
      <c r="BC113" s="21"/>
      <c r="BD113" s="21"/>
      <c r="BE113" s="20"/>
    </row>
    <row r="114" spans="1:57" x14ac:dyDescent="0.25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1"/>
      <c r="M114" s="21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  <c r="AH114" s="20"/>
      <c r="AI114" s="20"/>
      <c r="AJ114" s="20"/>
      <c r="AK114" s="20"/>
      <c r="AL114" s="20"/>
      <c r="AM114" s="20"/>
      <c r="AN114" s="20"/>
      <c r="AO114" s="20"/>
      <c r="AP114" s="20"/>
      <c r="AQ114" s="20"/>
      <c r="AR114" s="20"/>
      <c r="AS114" s="20"/>
      <c r="AT114" s="20"/>
      <c r="AU114" s="20"/>
      <c r="AV114" s="20"/>
      <c r="AW114" s="20"/>
      <c r="AX114" s="20"/>
      <c r="AY114" s="20"/>
      <c r="AZ114" s="20"/>
      <c r="BA114" s="20"/>
      <c r="BB114" s="20"/>
      <c r="BC114" s="21"/>
      <c r="BD114" s="21"/>
      <c r="BE114" s="20"/>
    </row>
    <row r="115" spans="1:57" x14ac:dyDescent="0.25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1"/>
      <c r="M115" s="21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  <c r="AE115" s="20"/>
      <c r="AF115" s="20"/>
      <c r="AG115" s="20"/>
      <c r="AH115" s="20"/>
      <c r="AI115" s="20"/>
      <c r="AJ115" s="20"/>
      <c r="AK115" s="20"/>
      <c r="AL115" s="20"/>
      <c r="AM115" s="20"/>
      <c r="AN115" s="20"/>
      <c r="AO115" s="20"/>
      <c r="AP115" s="20"/>
      <c r="AQ115" s="20"/>
      <c r="AR115" s="20"/>
      <c r="AS115" s="20"/>
      <c r="AT115" s="20"/>
      <c r="AU115" s="20"/>
      <c r="AV115" s="20"/>
      <c r="AW115" s="20"/>
      <c r="AX115" s="20"/>
      <c r="AY115" s="20"/>
      <c r="AZ115" s="20"/>
      <c r="BA115" s="20"/>
      <c r="BB115" s="20"/>
      <c r="BC115" s="21"/>
      <c r="BD115" s="21"/>
      <c r="BE115" s="20"/>
    </row>
    <row r="116" spans="1:57" x14ac:dyDescent="0.25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1"/>
      <c r="M116" s="21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  <c r="AE116" s="20"/>
      <c r="AF116" s="20"/>
      <c r="AG116" s="20"/>
      <c r="AH116" s="20"/>
      <c r="AI116" s="20"/>
      <c r="AJ116" s="20"/>
      <c r="AK116" s="20"/>
      <c r="AL116" s="20"/>
      <c r="AM116" s="20"/>
      <c r="AN116" s="20"/>
      <c r="AO116" s="20"/>
      <c r="AP116" s="20"/>
      <c r="AQ116" s="20"/>
      <c r="AR116" s="20"/>
      <c r="AS116" s="20"/>
      <c r="AT116" s="20"/>
      <c r="AU116" s="20"/>
      <c r="AV116" s="20"/>
      <c r="AW116" s="20"/>
      <c r="AX116" s="20"/>
      <c r="AY116" s="20"/>
      <c r="AZ116" s="20"/>
      <c r="BA116" s="20"/>
      <c r="BB116" s="20"/>
      <c r="BC116" s="21"/>
      <c r="BD116" s="21"/>
      <c r="BE116" s="20"/>
    </row>
    <row r="117" spans="1:57" x14ac:dyDescent="0.25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1"/>
      <c r="M117" s="21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  <c r="AE117" s="20"/>
      <c r="AF117" s="20"/>
      <c r="AG117" s="20"/>
      <c r="AH117" s="20"/>
      <c r="AI117" s="20"/>
      <c r="AJ117" s="20"/>
      <c r="AK117" s="20"/>
      <c r="AL117" s="20"/>
      <c r="AM117" s="20"/>
      <c r="AN117" s="20"/>
      <c r="AO117" s="20"/>
      <c r="AP117" s="20"/>
      <c r="AQ117" s="20"/>
      <c r="AR117" s="20"/>
      <c r="AS117" s="20"/>
      <c r="AT117" s="20"/>
      <c r="AU117" s="20"/>
      <c r="AV117" s="20"/>
      <c r="AW117" s="20"/>
      <c r="AX117" s="20"/>
      <c r="AY117" s="20"/>
      <c r="AZ117" s="20"/>
      <c r="BA117" s="20"/>
      <c r="BB117" s="20"/>
      <c r="BC117" s="21"/>
      <c r="BD117" s="21"/>
      <c r="BE117" s="20"/>
    </row>
    <row r="118" spans="1:57" x14ac:dyDescent="0.25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1"/>
      <c r="M118" s="21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0"/>
      <c r="AL118" s="20"/>
      <c r="AM118" s="20"/>
      <c r="AN118" s="20"/>
      <c r="AO118" s="20"/>
      <c r="AP118" s="20"/>
      <c r="AQ118" s="20"/>
      <c r="AR118" s="20"/>
      <c r="AS118" s="20"/>
      <c r="AT118" s="20"/>
      <c r="AU118" s="20"/>
      <c r="AV118" s="20"/>
      <c r="AW118" s="20"/>
      <c r="AX118" s="20"/>
      <c r="AY118" s="20"/>
      <c r="AZ118" s="20"/>
      <c r="BA118" s="20"/>
      <c r="BB118" s="20"/>
      <c r="BC118" s="21"/>
      <c r="BD118" s="21"/>
      <c r="BE118" s="20"/>
    </row>
    <row r="119" spans="1:57" x14ac:dyDescent="0.25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1"/>
      <c r="M119" s="21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0"/>
      <c r="AL119" s="20"/>
      <c r="AM119" s="20"/>
      <c r="AN119" s="20"/>
      <c r="AO119" s="20"/>
      <c r="AP119" s="20"/>
      <c r="AQ119" s="20"/>
      <c r="AR119" s="20"/>
      <c r="AS119" s="20"/>
      <c r="AT119" s="20"/>
      <c r="AU119" s="20"/>
      <c r="AV119" s="20"/>
      <c r="AW119" s="20"/>
      <c r="AX119" s="20"/>
      <c r="AY119" s="20"/>
      <c r="AZ119" s="20"/>
      <c r="BA119" s="20"/>
      <c r="BB119" s="20"/>
      <c r="BC119" s="21"/>
      <c r="BD119" s="21"/>
      <c r="BE119" s="20"/>
    </row>
    <row r="120" spans="1:57" x14ac:dyDescent="0.25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1"/>
      <c r="M120" s="21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20"/>
      <c r="AL120" s="20"/>
      <c r="AM120" s="20"/>
      <c r="AN120" s="20"/>
      <c r="AO120" s="20"/>
      <c r="AP120" s="20"/>
      <c r="AQ120" s="20"/>
      <c r="AR120" s="20"/>
      <c r="AS120" s="20"/>
      <c r="AT120" s="20"/>
      <c r="AU120" s="20"/>
      <c r="AV120" s="20"/>
      <c r="AW120" s="20"/>
      <c r="AX120" s="20"/>
      <c r="AY120" s="20"/>
      <c r="AZ120" s="20"/>
      <c r="BA120" s="20"/>
      <c r="BB120" s="20"/>
      <c r="BC120" s="21"/>
      <c r="BD120" s="21"/>
      <c r="BE120" s="20"/>
    </row>
    <row r="121" spans="1:57" x14ac:dyDescent="0.25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1"/>
      <c r="M121" s="21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0"/>
      <c r="AL121" s="20"/>
      <c r="AM121" s="20"/>
      <c r="AN121" s="20"/>
      <c r="AO121" s="20"/>
      <c r="AP121" s="20"/>
      <c r="AQ121" s="20"/>
      <c r="AR121" s="20"/>
      <c r="AS121" s="20"/>
      <c r="AT121" s="20"/>
      <c r="AU121" s="20"/>
      <c r="AV121" s="20"/>
      <c r="AW121" s="20"/>
      <c r="AX121" s="20"/>
      <c r="AY121" s="20"/>
      <c r="AZ121" s="20"/>
      <c r="BA121" s="20"/>
      <c r="BB121" s="20"/>
      <c r="BC121" s="21"/>
      <c r="BD121" s="21"/>
      <c r="BE121" s="20"/>
    </row>
    <row r="122" spans="1:57" x14ac:dyDescent="0.25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1"/>
      <c r="M122" s="21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0"/>
      <c r="AL122" s="20"/>
      <c r="AM122" s="20"/>
      <c r="AN122" s="20"/>
      <c r="AO122" s="20"/>
      <c r="AP122" s="20"/>
      <c r="AQ122" s="20"/>
      <c r="AR122" s="20"/>
      <c r="AS122" s="20"/>
      <c r="AT122" s="20"/>
      <c r="AU122" s="20"/>
      <c r="AV122" s="20"/>
      <c r="AW122" s="20"/>
      <c r="AX122" s="20"/>
      <c r="AY122" s="20"/>
      <c r="AZ122" s="20"/>
      <c r="BA122" s="20"/>
      <c r="BB122" s="20"/>
      <c r="BC122" s="21"/>
      <c r="BD122" s="21"/>
      <c r="BE122" s="20"/>
    </row>
    <row r="123" spans="1:57" x14ac:dyDescent="0.25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1"/>
      <c r="M123" s="21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0"/>
      <c r="AL123" s="20"/>
      <c r="AM123" s="20"/>
      <c r="AN123" s="20"/>
      <c r="AO123" s="20"/>
      <c r="AP123" s="20"/>
      <c r="AQ123" s="20"/>
      <c r="AR123" s="20"/>
      <c r="AS123" s="20"/>
      <c r="AT123" s="20"/>
      <c r="AU123" s="20"/>
      <c r="AV123" s="20"/>
      <c r="AW123" s="20"/>
      <c r="AX123" s="20"/>
      <c r="AY123" s="20"/>
      <c r="AZ123" s="20"/>
      <c r="BA123" s="20"/>
      <c r="BB123" s="20"/>
      <c r="BC123" s="21"/>
      <c r="BD123" s="21"/>
      <c r="BE123" s="20"/>
    </row>
    <row r="124" spans="1:57" x14ac:dyDescent="0.25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1"/>
      <c r="M124" s="21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0"/>
      <c r="AL124" s="20"/>
      <c r="AM124" s="20"/>
      <c r="AN124" s="20"/>
      <c r="AO124" s="20"/>
      <c r="AP124" s="20"/>
      <c r="AQ124" s="20"/>
      <c r="AR124" s="20"/>
      <c r="AS124" s="20"/>
      <c r="AT124" s="20"/>
      <c r="AU124" s="20"/>
      <c r="AV124" s="20"/>
      <c r="AW124" s="20"/>
      <c r="AX124" s="20"/>
      <c r="AY124" s="20"/>
      <c r="AZ124" s="20"/>
      <c r="BA124" s="20"/>
      <c r="BB124" s="20"/>
      <c r="BC124" s="21"/>
      <c r="BD124" s="21"/>
      <c r="BE124" s="20"/>
    </row>
    <row r="125" spans="1:57" x14ac:dyDescent="0.25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1"/>
      <c r="M125" s="21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0"/>
      <c r="AL125" s="20"/>
      <c r="AM125" s="20"/>
      <c r="AN125" s="20"/>
      <c r="AO125" s="20"/>
      <c r="AP125" s="20"/>
      <c r="AQ125" s="20"/>
      <c r="AR125" s="20"/>
      <c r="AS125" s="20"/>
      <c r="AT125" s="20"/>
      <c r="AU125" s="20"/>
      <c r="AV125" s="20"/>
      <c r="AW125" s="20"/>
      <c r="AX125" s="20"/>
      <c r="AY125" s="20"/>
      <c r="AZ125" s="20"/>
      <c r="BA125" s="20"/>
      <c r="BB125" s="20"/>
      <c r="BC125" s="21"/>
      <c r="BD125" s="21"/>
      <c r="BE125" s="20"/>
    </row>
    <row r="126" spans="1:57" x14ac:dyDescent="0.25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1"/>
      <c r="M126" s="21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0"/>
      <c r="AL126" s="20"/>
      <c r="AM126" s="20"/>
      <c r="AN126" s="20"/>
      <c r="AO126" s="20"/>
      <c r="AP126" s="20"/>
      <c r="AQ126" s="20"/>
      <c r="AR126" s="20"/>
      <c r="AS126" s="20"/>
      <c r="AT126" s="20"/>
      <c r="AU126" s="20"/>
      <c r="AV126" s="20"/>
      <c r="AW126" s="20"/>
      <c r="AX126" s="20"/>
      <c r="AY126" s="20"/>
      <c r="AZ126" s="20"/>
      <c r="BA126" s="20"/>
      <c r="BB126" s="20"/>
      <c r="BC126" s="21"/>
      <c r="BD126" s="21"/>
      <c r="BE126" s="20"/>
    </row>
    <row r="127" spans="1:57" x14ac:dyDescent="0.25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1"/>
      <c r="M127" s="21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  <c r="AE127" s="20"/>
      <c r="AF127" s="20"/>
      <c r="AG127" s="20"/>
      <c r="AH127" s="20"/>
      <c r="AI127" s="20"/>
      <c r="AJ127" s="20"/>
      <c r="AK127" s="20"/>
      <c r="AL127" s="20"/>
      <c r="AM127" s="20"/>
      <c r="AN127" s="20"/>
      <c r="AO127" s="20"/>
      <c r="AP127" s="20"/>
      <c r="AQ127" s="20"/>
      <c r="AR127" s="20"/>
      <c r="AS127" s="20"/>
      <c r="AT127" s="20"/>
      <c r="AU127" s="20"/>
      <c r="AV127" s="20"/>
      <c r="AW127" s="20"/>
      <c r="AX127" s="20"/>
      <c r="AY127" s="20"/>
      <c r="AZ127" s="20"/>
      <c r="BA127" s="20"/>
      <c r="BB127" s="20"/>
      <c r="BC127" s="21"/>
      <c r="BD127" s="21"/>
      <c r="BE127" s="20"/>
    </row>
    <row r="128" spans="1:57" x14ac:dyDescent="0.25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1"/>
      <c r="M128" s="21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  <c r="AE128" s="20"/>
      <c r="AF128" s="20"/>
      <c r="AG128" s="20"/>
      <c r="AH128" s="20"/>
      <c r="AI128" s="20"/>
      <c r="AJ128" s="20"/>
      <c r="AK128" s="20"/>
      <c r="AL128" s="20"/>
      <c r="AM128" s="20"/>
      <c r="AN128" s="20"/>
      <c r="AO128" s="20"/>
      <c r="AP128" s="20"/>
      <c r="AQ128" s="20"/>
      <c r="AR128" s="20"/>
      <c r="AS128" s="20"/>
      <c r="AT128" s="20"/>
      <c r="AU128" s="20"/>
      <c r="AV128" s="20"/>
      <c r="AW128" s="20"/>
      <c r="AX128" s="20"/>
      <c r="AY128" s="20"/>
      <c r="AZ128" s="20"/>
      <c r="BA128" s="20"/>
      <c r="BB128" s="20"/>
      <c r="BC128" s="21"/>
      <c r="BD128" s="21"/>
      <c r="BE128" s="20"/>
    </row>
    <row r="129" spans="1:57" x14ac:dyDescent="0.25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1"/>
      <c r="M129" s="21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  <c r="AE129" s="20"/>
      <c r="AF129" s="20"/>
      <c r="AG129" s="20"/>
      <c r="AH129" s="20"/>
      <c r="AI129" s="20"/>
      <c r="AJ129" s="20"/>
      <c r="AK129" s="20"/>
      <c r="AL129" s="20"/>
      <c r="AM129" s="20"/>
      <c r="AN129" s="20"/>
      <c r="AO129" s="20"/>
      <c r="AP129" s="20"/>
      <c r="AQ129" s="20"/>
      <c r="AR129" s="20"/>
      <c r="AS129" s="20"/>
      <c r="AT129" s="20"/>
      <c r="AU129" s="20"/>
      <c r="AV129" s="20"/>
      <c r="AW129" s="20"/>
      <c r="AX129" s="20"/>
      <c r="AY129" s="20"/>
      <c r="AZ129" s="20"/>
      <c r="BA129" s="20"/>
      <c r="BB129" s="20"/>
      <c r="BC129" s="21"/>
      <c r="BD129" s="21"/>
      <c r="BE129" s="20"/>
    </row>
    <row r="130" spans="1:57" x14ac:dyDescent="0.25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1"/>
      <c r="M130" s="21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  <c r="AE130" s="20"/>
      <c r="AF130" s="20"/>
      <c r="AG130" s="20"/>
      <c r="AH130" s="20"/>
      <c r="AI130" s="20"/>
      <c r="AJ130" s="20"/>
      <c r="AK130" s="20"/>
      <c r="AL130" s="20"/>
      <c r="AM130" s="20"/>
      <c r="AN130" s="20"/>
      <c r="AO130" s="20"/>
      <c r="AP130" s="20"/>
      <c r="AQ130" s="20"/>
      <c r="AR130" s="20"/>
      <c r="AS130" s="20"/>
      <c r="AT130" s="20"/>
      <c r="AU130" s="20"/>
      <c r="AV130" s="20"/>
      <c r="AW130" s="20"/>
      <c r="AX130" s="20"/>
      <c r="AY130" s="20"/>
      <c r="AZ130" s="20"/>
      <c r="BA130" s="20"/>
      <c r="BB130" s="20"/>
      <c r="BC130" s="21"/>
      <c r="BD130" s="21"/>
      <c r="BE130" s="20"/>
    </row>
    <row r="131" spans="1:57" x14ac:dyDescent="0.25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1"/>
      <c r="M131" s="21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  <c r="AE131" s="20"/>
      <c r="AF131" s="20"/>
      <c r="AG131" s="20"/>
      <c r="AH131" s="20"/>
      <c r="AI131" s="20"/>
      <c r="AJ131" s="20"/>
      <c r="AK131" s="20"/>
      <c r="AL131" s="20"/>
      <c r="AM131" s="20"/>
      <c r="AN131" s="20"/>
      <c r="AO131" s="20"/>
      <c r="AP131" s="20"/>
      <c r="AQ131" s="20"/>
      <c r="AR131" s="20"/>
      <c r="AS131" s="20"/>
      <c r="AT131" s="20"/>
      <c r="AU131" s="20"/>
      <c r="AV131" s="20"/>
      <c r="AW131" s="20"/>
      <c r="AX131" s="20"/>
      <c r="AY131" s="20"/>
      <c r="AZ131" s="20"/>
      <c r="BA131" s="20"/>
      <c r="BB131" s="20"/>
      <c r="BC131" s="21"/>
      <c r="BD131" s="21"/>
      <c r="BE131" s="20"/>
    </row>
    <row r="132" spans="1:57" x14ac:dyDescent="0.25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1"/>
      <c r="M132" s="21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  <c r="AE132" s="20"/>
      <c r="AF132" s="20"/>
      <c r="AG132" s="20"/>
      <c r="AH132" s="20"/>
      <c r="AI132" s="20"/>
      <c r="AJ132" s="20"/>
      <c r="AK132" s="20"/>
      <c r="AL132" s="20"/>
      <c r="AM132" s="20"/>
      <c r="AN132" s="20"/>
      <c r="AO132" s="20"/>
      <c r="AP132" s="20"/>
      <c r="AQ132" s="20"/>
      <c r="AR132" s="20"/>
      <c r="AS132" s="20"/>
      <c r="AT132" s="20"/>
      <c r="AU132" s="20"/>
      <c r="AV132" s="20"/>
      <c r="AW132" s="20"/>
      <c r="AX132" s="20"/>
      <c r="AY132" s="20"/>
      <c r="AZ132" s="20"/>
      <c r="BA132" s="20"/>
      <c r="BB132" s="20"/>
      <c r="BC132" s="21"/>
      <c r="BD132" s="21"/>
      <c r="BE132" s="20"/>
    </row>
    <row r="133" spans="1:57" x14ac:dyDescent="0.25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1"/>
      <c r="M133" s="21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  <c r="AE133" s="20"/>
      <c r="AF133" s="20"/>
      <c r="AG133" s="20"/>
      <c r="AH133" s="20"/>
      <c r="AI133" s="20"/>
      <c r="AJ133" s="20"/>
      <c r="AK133" s="20"/>
      <c r="AL133" s="20"/>
      <c r="AM133" s="20"/>
      <c r="AN133" s="20"/>
      <c r="AO133" s="20"/>
      <c r="AP133" s="20"/>
      <c r="AQ133" s="20"/>
      <c r="AR133" s="20"/>
      <c r="AS133" s="20"/>
      <c r="AT133" s="20"/>
      <c r="AU133" s="20"/>
      <c r="AV133" s="20"/>
      <c r="AW133" s="20"/>
      <c r="AX133" s="20"/>
      <c r="AY133" s="20"/>
      <c r="AZ133" s="20"/>
      <c r="BA133" s="20"/>
      <c r="BB133" s="20"/>
      <c r="BC133" s="21"/>
      <c r="BD133" s="21"/>
      <c r="BE133" s="20"/>
    </row>
    <row r="134" spans="1:57" x14ac:dyDescent="0.25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1"/>
      <c r="M134" s="21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  <c r="AE134" s="20"/>
      <c r="AF134" s="20"/>
      <c r="AG134" s="20"/>
      <c r="AH134" s="20"/>
      <c r="AI134" s="20"/>
      <c r="AJ134" s="20"/>
      <c r="AK134" s="20"/>
      <c r="AL134" s="20"/>
      <c r="AM134" s="20"/>
      <c r="AN134" s="20"/>
      <c r="AO134" s="20"/>
      <c r="AP134" s="20"/>
      <c r="AQ134" s="20"/>
      <c r="AR134" s="20"/>
      <c r="AS134" s="20"/>
      <c r="AT134" s="20"/>
      <c r="AU134" s="20"/>
      <c r="AV134" s="20"/>
      <c r="AW134" s="20"/>
      <c r="AX134" s="20"/>
      <c r="AY134" s="20"/>
      <c r="AZ134" s="20"/>
      <c r="BA134" s="20"/>
      <c r="BB134" s="20"/>
      <c r="BC134" s="21"/>
      <c r="BD134" s="21"/>
      <c r="BE134" s="20"/>
    </row>
    <row r="135" spans="1:57" x14ac:dyDescent="0.25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1"/>
      <c r="M135" s="21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  <c r="AE135" s="20"/>
      <c r="AF135" s="20"/>
      <c r="AG135" s="20"/>
      <c r="AH135" s="20"/>
      <c r="AI135" s="20"/>
      <c r="AJ135" s="20"/>
      <c r="AK135" s="20"/>
      <c r="AL135" s="20"/>
      <c r="AM135" s="20"/>
      <c r="AN135" s="20"/>
      <c r="AO135" s="20"/>
      <c r="AP135" s="20"/>
      <c r="AQ135" s="20"/>
      <c r="AR135" s="20"/>
      <c r="AS135" s="20"/>
      <c r="AT135" s="20"/>
      <c r="AU135" s="20"/>
      <c r="AV135" s="20"/>
      <c r="AW135" s="20"/>
      <c r="AX135" s="20"/>
      <c r="AY135" s="20"/>
      <c r="AZ135" s="20"/>
      <c r="BA135" s="20"/>
      <c r="BB135" s="20"/>
      <c r="BC135" s="21"/>
      <c r="BD135" s="21"/>
      <c r="BE135" s="20"/>
    </row>
    <row r="136" spans="1:57" x14ac:dyDescent="0.25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1"/>
      <c r="M136" s="21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  <c r="AE136" s="20"/>
      <c r="AF136" s="20"/>
      <c r="AG136" s="20"/>
      <c r="AH136" s="20"/>
      <c r="AI136" s="20"/>
      <c r="AJ136" s="20"/>
      <c r="AK136" s="20"/>
      <c r="AL136" s="20"/>
      <c r="AM136" s="20"/>
      <c r="AN136" s="20"/>
      <c r="AO136" s="20"/>
      <c r="AP136" s="20"/>
      <c r="AQ136" s="20"/>
      <c r="AR136" s="20"/>
      <c r="AS136" s="20"/>
      <c r="AT136" s="20"/>
      <c r="AU136" s="20"/>
      <c r="AV136" s="20"/>
      <c r="AW136" s="20"/>
      <c r="AX136" s="20"/>
      <c r="AY136" s="20"/>
      <c r="AZ136" s="20"/>
      <c r="BA136" s="20"/>
      <c r="BB136" s="20"/>
      <c r="BC136" s="21"/>
      <c r="BD136" s="21"/>
      <c r="BE136" s="20"/>
    </row>
    <row r="137" spans="1:57" x14ac:dyDescent="0.25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1"/>
      <c r="M137" s="21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  <c r="AE137" s="20"/>
      <c r="AF137" s="20"/>
      <c r="AG137" s="20"/>
      <c r="AH137" s="20"/>
      <c r="AI137" s="20"/>
      <c r="AJ137" s="20"/>
      <c r="AK137" s="20"/>
      <c r="AL137" s="20"/>
      <c r="AM137" s="20"/>
      <c r="AN137" s="20"/>
      <c r="AO137" s="20"/>
      <c r="AP137" s="20"/>
      <c r="AQ137" s="20"/>
      <c r="AR137" s="20"/>
      <c r="AS137" s="20"/>
      <c r="AT137" s="20"/>
      <c r="AU137" s="20"/>
      <c r="AV137" s="20"/>
      <c r="AW137" s="20"/>
      <c r="AX137" s="20"/>
      <c r="AY137" s="20"/>
      <c r="AZ137" s="20"/>
      <c r="BA137" s="20"/>
      <c r="BB137" s="20"/>
      <c r="BC137" s="21"/>
      <c r="BD137" s="21"/>
      <c r="BE137" s="20"/>
    </row>
    <row r="138" spans="1:57" x14ac:dyDescent="0.25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1"/>
      <c r="M138" s="21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  <c r="AE138" s="20"/>
      <c r="AF138" s="20"/>
      <c r="AG138" s="20"/>
      <c r="AH138" s="20"/>
      <c r="AI138" s="20"/>
      <c r="AJ138" s="20"/>
      <c r="AK138" s="20"/>
      <c r="AL138" s="20"/>
      <c r="AM138" s="20"/>
      <c r="AN138" s="20"/>
      <c r="AO138" s="20"/>
      <c r="AP138" s="20"/>
      <c r="AQ138" s="20"/>
      <c r="AR138" s="20"/>
      <c r="AS138" s="20"/>
      <c r="AT138" s="20"/>
      <c r="AU138" s="20"/>
      <c r="AV138" s="20"/>
      <c r="AW138" s="20"/>
      <c r="AX138" s="20"/>
      <c r="AY138" s="20"/>
      <c r="AZ138" s="20"/>
      <c r="BA138" s="20"/>
      <c r="BB138" s="20"/>
      <c r="BC138" s="21"/>
      <c r="BD138" s="21"/>
      <c r="BE138" s="20"/>
    </row>
    <row r="139" spans="1:57" x14ac:dyDescent="0.25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1"/>
      <c r="M139" s="21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  <c r="AE139" s="20"/>
      <c r="AF139" s="20"/>
      <c r="AG139" s="20"/>
      <c r="AH139" s="20"/>
      <c r="AI139" s="20"/>
      <c r="AJ139" s="20"/>
      <c r="AK139" s="20"/>
      <c r="AL139" s="20"/>
      <c r="AM139" s="20"/>
      <c r="AN139" s="20"/>
      <c r="AO139" s="20"/>
      <c r="AP139" s="20"/>
      <c r="AQ139" s="20"/>
      <c r="AR139" s="20"/>
      <c r="AS139" s="20"/>
      <c r="AT139" s="20"/>
      <c r="AU139" s="20"/>
      <c r="AV139" s="20"/>
      <c r="AW139" s="20"/>
      <c r="AX139" s="20"/>
      <c r="AY139" s="20"/>
      <c r="AZ139" s="20"/>
      <c r="BA139" s="20"/>
      <c r="BB139" s="20"/>
      <c r="BC139" s="21"/>
      <c r="BD139" s="21"/>
      <c r="BE139" s="20"/>
    </row>
    <row r="140" spans="1:57" x14ac:dyDescent="0.25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1"/>
      <c r="M140" s="21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  <c r="AE140" s="20"/>
      <c r="AF140" s="20"/>
      <c r="AG140" s="20"/>
      <c r="AH140" s="20"/>
      <c r="AI140" s="20"/>
      <c r="AJ140" s="20"/>
      <c r="AK140" s="20"/>
      <c r="AL140" s="20"/>
      <c r="AM140" s="20"/>
      <c r="AN140" s="20"/>
      <c r="AO140" s="20"/>
      <c r="AP140" s="20"/>
      <c r="AQ140" s="20"/>
      <c r="AR140" s="20"/>
      <c r="AS140" s="20"/>
      <c r="AT140" s="20"/>
      <c r="AU140" s="20"/>
      <c r="AV140" s="20"/>
      <c r="AW140" s="20"/>
      <c r="AX140" s="20"/>
      <c r="AY140" s="20"/>
      <c r="AZ140" s="20"/>
      <c r="BA140" s="20"/>
      <c r="BB140" s="20"/>
      <c r="BC140" s="21"/>
      <c r="BD140" s="21"/>
      <c r="BE140" s="20"/>
    </row>
    <row r="141" spans="1:57" x14ac:dyDescent="0.25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1"/>
      <c r="M141" s="21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  <c r="AE141" s="20"/>
      <c r="AF141" s="20"/>
      <c r="AG141" s="20"/>
      <c r="AH141" s="20"/>
      <c r="AI141" s="20"/>
      <c r="AJ141" s="20"/>
      <c r="AK141" s="20"/>
      <c r="AL141" s="20"/>
      <c r="AM141" s="20"/>
      <c r="AN141" s="20"/>
      <c r="AO141" s="20"/>
      <c r="AP141" s="20"/>
      <c r="AQ141" s="20"/>
      <c r="AR141" s="20"/>
      <c r="AS141" s="20"/>
      <c r="AT141" s="20"/>
      <c r="AU141" s="20"/>
      <c r="AV141" s="20"/>
      <c r="AW141" s="20"/>
      <c r="AX141" s="20"/>
      <c r="AY141" s="20"/>
      <c r="AZ141" s="20"/>
      <c r="BA141" s="20"/>
      <c r="BB141" s="20"/>
      <c r="BC141" s="21"/>
      <c r="BD141" s="21"/>
      <c r="BE141" s="20"/>
    </row>
    <row r="142" spans="1:57" x14ac:dyDescent="0.25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1"/>
      <c r="M142" s="21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  <c r="AE142" s="20"/>
      <c r="AF142" s="20"/>
      <c r="AG142" s="20"/>
      <c r="AH142" s="20"/>
      <c r="AI142" s="20"/>
      <c r="AJ142" s="20"/>
      <c r="AK142" s="20"/>
      <c r="AL142" s="20"/>
      <c r="AM142" s="20"/>
      <c r="AN142" s="20"/>
      <c r="AO142" s="20"/>
      <c r="AP142" s="20"/>
      <c r="AQ142" s="20"/>
      <c r="AR142" s="20"/>
      <c r="AS142" s="20"/>
      <c r="AT142" s="20"/>
      <c r="AU142" s="20"/>
      <c r="AV142" s="20"/>
      <c r="AW142" s="20"/>
      <c r="AX142" s="20"/>
      <c r="AY142" s="20"/>
      <c r="AZ142" s="20"/>
      <c r="BA142" s="20"/>
      <c r="BB142" s="20"/>
      <c r="BC142" s="21"/>
      <c r="BD142" s="21"/>
      <c r="BE142" s="20"/>
    </row>
    <row r="143" spans="1:57" x14ac:dyDescent="0.25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1"/>
      <c r="M143" s="21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  <c r="AE143" s="20"/>
      <c r="AF143" s="20"/>
      <c r="AG143" s="20"/>
      <c r="AH143" s="20"/>
      <c r="AI143" s="20"/>
      <c r="AJ143" s="20"/>
      <c r="AK143" s="20"/>
      <c r="AL143" s="20"/>
      <c r="AM143" s="20"/>
      <c r="AN143" s="20"/>
      <c r="AO143" s="20"/>
      <c r="AP143" s="20"/>
      <c r="AQ143" s="20"/>
      <c r="AR143" s="20"/>
      <c r="AS143" s="20"/>
      <c r="AT143" s="20"/>
      <c r="AU143" s="20"/>
      <c r="AV143" s="20"/>
      <c r="AW143" s="20"/>
      <c r="AX143" s="20"/>
      <c r="AY143" s="20"/>
      <c r="AZ143" s="20"/>
      <c r="BA143" s="20"/>
      <c r="BB143" s="20"/>
      <c r="BC143" s="21"/>
      <c r="BD143" s="21"/>
      <c r="BE143" s="20"/>
    </row>
    <row r="144" spans="1:57" x14ac:dyDescent="0.25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1"/>
      <c r="M144" s="21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  <c r="AE144" s="20"/>
      <c r="AF144" s="20"/>
      <c r="AG144" s="20"/>
      <c r="AH144" s="20"/>
      <c r="AI144" s="20"/>
      <c r="AJ144" s="20"/>
      <c r="AK144" s="20"/>
      <c r="AL144" s="20"/>
      <c r="AM144" s="20"/>
      <c r="AN144" s="20"/>
      <c r="AO144" s="20"/>
      <c r="AP144" s="20"/>
      <c r="AQ144" s="20"/>
      <c r="AR144" s="20"/>
      <c r="AS144" s="20"/>
      <c r="AT144" s="20"/>
      <c r="AU144" s="20"/>
      <c r="AV144" s="20"/>
      <c r="AW144" s="20"/>
      <c r="AX144" s="20"/>
      <c r="AY144" s="20"/>
      <c r="AZ144" s="20"/>
      <c r="BA144" s="20"/>
      <c r="BB144" s="20"/>
      <c r="BC144" s="21"/>
      <c r="BD144" s="21"/>
      <c r="BE144" s="20"/>
    </row>
    <row r="145" spans="1:57" x14ac:dyDescent="0.25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1"/>
      <c r="M145" s="21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  <c r="AE145" s="20"/>
      <c r="AF145" s="20"/>
      <c r="AG145" s="20"/>
      <c r="AH145" s="20"/>
      <c r="AI145" s="20"/>
      <c r="AJ145" s="20"/>
      <c r="AK145" s="20"/>
      <c r="AL145" s="20"/>
      <c r="AM145" s="20"/>
      <c r="AN145" s="20"/>
      <c r="AO145" s="20"/>
      <c r="AP145" s="20"/>
      <c r="AQ145" s="20"/>
      <c r="AR145" s="20"/>
      <c r="AS145" s="20"/>
      <c r="AT145" s="20"/>
      <c r="AU145" s="20"/>
      <c r="AV145" s="20"/>
      <c r="AW145" s="20"/>
      <c r="AX145" s="20"/>
      <c r="AY145" s="20"/>
      <c r="AZ145" s="20"/>
      <c r="BA145" s="20"/>
      <c r="BB145" s="20"/>
      <c r="BC145" s="21"/>
      <c r="BD145" s="21"/>
      <c r="BE145" s="20"/>
    </row>
    <row r="146" spans="1:57" x14ac:dyDescent="0.25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1"/>
      <c r="M146" s="21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  <c r="AE146" s="20"/>
      <c r="AF146" s="20"/>
      <c r="AG146" s="20"/>
      <c r="AH146" s="20"/>
      <c r="AI146" s="20"/>
      <c r="AJ146" s="20"/>
      <c r="AK146" s="20"/>
      <c r="AL146" s="20"/>
      <c r="AM146" s="20"/>
      <c r="AN146" s="20"/>
      <c r="AO146" s="20"/>
      <c r="AP146" s="20"/>
      <c r="AQ146" s="20"/>
      <c r="AR146" s="20"/>
      <c r="AS146" s="20"/>
      <c r="AT146" s="20"/>
      <c r="AU146" s="20"/>
      <c r="AV146" s="20"/>
      <c r="AW146" s="20"/>
      <c r="AX146" s="20"/>
      <c r="AY146" s="20"/>
      <c r="AZ146" s="20"/>
      <c r="BA146" s="20"/>
      <c r="BB146" s="20"/>
      <c r="BC146" s="21"/>
      <c r="BD146" s="21"/>
      <c r="BE146" s="20"/>
    </row>
    <row r="147" spans="1:57" x14ac:dyDescent="0.25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1"/>
      <c r="M147" s="21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  <c r="AE147" s="20"/>
      <c r="AF147" s="20"/>
      <c r="AG147" s="20"/>
      <c r="AH147" s="20"/>
      <c r="AI147" s="20"/>
      <c r="AJ147" s="20"/>
      <c r="AK147" s="20"/>
      <c r="AL147" s="20"/>
      <c r="AM147" s="20"/>
      <c r="AN147" s="20"/>
      <c r="AO147" s="20"/>
      <c r="AP147" s="20"/>
      <c r="AQ147" s="20"/>
      <c r="AR147" s="20"/>
      <c r="AS147" s="20"/>
      <c r="AT147" s="20"/>
      <c r="AU147" s="20"/>
      <c r="AV147" s="20"/>
      <c r="AW147" s="20"/>
      <c r="AX147" s="20"/>
      <c r="AY147" s="20"/>
      <c r="AZ147" s="20"/>
      <c r="BA147" s="20"/>
      <c r="BB147" s="20"/>
      <c r="BC147" s="21"/>
      <c r="BD147" s="21"/>
      <c r="BE147" s="20"/>
    </row>
    <row r="148" spans="1:57" x14ac:dyDescent="0.25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1"/>
      <c r="M148" s="21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  <c r="AE148" s="20"/>
      <c r="AF148" s="20"/>
      <c r="AG148" s="20"/>
      <c r="AH148" s="20"/>
      <c r="AI148" s="20"/>
      <c r="AJ148" s="20"/>
      <c r="AK148" s="20"/>
      <c r="AL148" s="20"/>
      <c r="AM148" s="20"/>
      <c r="AN148" s="20"/>
      <c r="AO148" s="20"/>
      <c r="AP148" s="20"/>
      <c r="AQ148" s="20"/>
      <c r="AR148" s="20"/>
      <c r="AS148" s="20"/>
      <c r="AT148" s="20"/>
      <c r="AU148" s="20"/>
      <c r="AV148" s="20"/>
      <c r="AW148" s="20"/>
      <c r="AX148" s="20"/>
      <c r="AY148" s="20"/>
      <c r="AZ148" s="20"/>
      <c r="BA148" s="20"/>
      <c r="BB148" s="20"/>
      <c r="BC148" s="21"/>
      <c r="BD148" s="21"/>
      <c r="BE148" s="20"/>
    </row>
    <row r="149" spans="1:57" x14ac:dyDescent="0.25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1"/>
      <c r="M149" s="21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  <c r="AE149" s="20"/>
      <c r="AF149" s="20"/>
      <c r="AG149" s="20"/>
      <c r="AH149" s="20"/>
      <c r="AI149" s="20"/>
      <c r="AJ149" s="20"/>
      <c r="AK149" s="20"/>
      <c r="AL149" s="20"/>
      <c r="AM149" s="20"/>
      <c r="AN149" s="20"/>
      <c r="AO149" s="20"/>
      <c r="AP149" s="20"/>
      <c r="AQ149" s="20"/>
      <c r="AR149" s="20"/>
      <c r="AS149" s="20"/>
      <c r="AT149" s="20"/>
      <c r="AU149" s="20"/>
      <c r="AV149" s="20"/>
      <c r="AW149" s="20"/>
      <c r="AX149" s="20"/>
      <c r="AY149" s="20"/>
      <c r="AZ149" s="20"/>
      <c r="BA149" s="20"/>
      <c r="BB149" s="20"/>
      <c r="BC149" s="21"/>
      <c r="BD149" s="21"/>
      <c r="BE149" s="20"/>
    </row>
    <row r="150" spans="1:57" x14ac:dyDescent="0.25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1"/>
      <c r="M150" s="21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  <c r="AE150" s="20"/>
      <c r="AF150" s="20"/>
      <c r="AG150" s="20"/>
      <c r="AH150" s="20"/>
      <c r="AI150" s="20"/>
      <c r="AJ150" s="20"/>
      <c r="AK150" s="20"/>
      <c r="AL150" s="20"/>
      <c r="AM150" s="20"/>
      <c r="AN150" s="20"/>
      <c r="AO150" s="20"/>
      <c r="AP150" s="20"/>
      <c r="AQ150" s="20"/>
      <c r="AR150" s="20"/>
      <c r="AS150" s="20"/>
      <c r="AT150" s="20"/>
      <c r="AU150" s="20"/>
      <c r="AV150" s="20"/>
      <c r="AW150" s="20"/>
      <c r="AX150" s="20"/>
      <c r="AY150" s="20"/>
      <c r="AZ150" s="20"/>
      <c r="BA150" s="20"/>
      <c r="BB150" s="20"/>
      <c r="BC150" s="21"/>
      <c r="BD150" s="21"/>
      <c r="BE150" s="20"/>
    </row>
    <row r="151" spans="1:57" x14ac:dyDescent="0.25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1"/>
      <c r="M151" s="21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  <c r="AE151" s="20"/>
      <c r="AF151" s="20"/>
      <c r="AG151" s="20"/>
      <c r="AH151" s="20"/>
      <c r="AI151" s="20"/>
      <c r="AJ151" s="20"/>
      <c r="AK151" s="20"/>
      <c r="AL151" s="20"/>
      <c r="AM151" s="20"/>
      <c r="AN151" s="20"/>
      <c r="AO151" s="20"/>
      <c r="AP151" s="20"/>
      <c r="AQ151" s="20"/>
      <c r="AR151" s="20"/>
      <c r="AS151" s="20"/>
      <c r="AT151" s="20"/>
      <c r="AU151" s="20"/>
      <c r="AV151" s="20"/>
      <c r="AW151" s="20"/>
      <c r="AX151" s="20"/>
      <c r="AY151" s="20"/>
      <c r="AZ151" s="20"/>
      <c r="BA151" s="20"/>
      <c r="BB151" s="20"/>
      <c r="BC151" s="21"/>
      <c r="BD151" s="21"/>
      <c r="BE151" s="20"/>
    </row>
    <row r="152" spans="1:57" x14ac:dyDescent="0.25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1"/>
      <c r="M152" s="21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  <c r="AE152" s="20"/>
      <c r="AF152" s="20"/>
      <c r="AG152" s="20"/>
      <c r="AH152" s="20"/>
      <c r="AI152" s="20"/>
      <c r="AJ152" s="20"/>
      <c r="AK152" s="20"/>
      <c r="AL152" s="20"/>
      <c r="AM152" s="20"/>
      <c r="AN152" s="20"/>
      <c r="AO152" s="20"/>
      <c r="AP152" s="20"/>
      <c r="AQ152" s="20"/>
      <c r="AR152" s="20"/>
      <c r="AS152" s="20"/>
      <c r="AT152" s="20"/>
      <c r="AU152" s="20"/>
      <c r="AV152" s="20"/>
      <c r="AW152" s="20"/>
      <c r="AX152" s="20"/>
      <c r="AY152" s="20"/>
      <c r="AZ152" s="20"/>
      <c r="BA152" s="20"/>
      <c r="BB152" s="20"/>
      <c r="BC152" s="21"/>
      <c r="BD152" s="21"/>
      <c r="BE152" s="20"/>
    </row>
    <row r="153" spans="1:57" x14ac:dyDescent="0.25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1"/>
      <c r="M153" s="21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  <c r="AE153" s="20"/>
      <c r="AF153" s="20"/>
      <c r="AG153" s="20"/>
      <c r="AH153" s="20"/>
      <c r="AI153" s="20"/>
      <c r="AJ153" s="20"/>
      <c r="AK153" s="20"/>
      <c r="AL153" s="20"/>
      <c r="AM153" s="20"/>
      <c r="AN153" s="20"/>
      <c r="AO153" s="20"/>
      <c r="AP153" s="20"/>
      <c r="AQ153" s="20"/>
      <c r="AR153" s="20"/>
      <c r="AS153" s="20"/>
      <c r="AT153" s="20"/>
      <c r="AU153" s="20"/>
      <c r="AV153" s="20"/>
      <c r="AW153" s="20"/>
      <c r="AX153" s="20"/>
      <c r="AY153" s="20"/>
      <c r="AZ153" s="20"/>
      <c r="BA153" s="20"/>
      <c r="BB153" s="20"/>
      <c r="BC153" s="21"/>
      <c r="BD153" s="21"/>
      <c r="BE153" s="20"/>
    </row>
    <row r="154" spans="1:57" x14ac:dyDescent="0.25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1"/>
      <c r="M154" s="21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  <c r="AE154" s="20"/>
      <c r="AF154" s="20"/>
      <c r="AG154" s="20"/>
      <c r="AH154" s="20"/>
      <c r="AI154" s="20"/>
      <c r="AJ154" s="20"/>
      <c r="AK154" s="20"/>
      <c r="AL154" s="20"/>
      <c r="AM154" s="20"/>
      <c r="AN154" s="20"/>
      <c r="AO154" s="20"/>
      <c r="AP154" s="20"/>
      <c r="AQ154" s="20"/>
      <c r="AR154" s="20"/>
      <c r="AS154" s="20"/>
      <c r="AT154" s="20"/>
      <c r="AU154" s="20"/>
      <c r="AV154" s="20"/>
      <c r="AW154" s="20"/>
      <c r="AX154" s="20"/>
      <c r="AY154" s="20"/>
      <c r="AZ154" s="20"/>
      <c r="BA154" s="20"/>
      <c r="BB154" s="20"/>
      <c r="BC154" s="21"/>
      <c r="BD154" s="21"/>
      <c r="BE154" s="20"/>
    </row>
    <row r="155" spans="1:57" x14ac:dyDescent="0.25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1"/>
      <c r="M155" s="21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  <c r="AE155" s="20"/>
      <c r="AF155" s="20"/>
      <c r="AG155" s="20"/>
      <c r="AH155" s="20"/>
      <c r="AI155" s="20"/>
      <c r="AJ155" s="20"/>
      <c r="AK155" s="20"/>
      <c r="AL155" s="20"/>
      <c r="AM155" s="20"/>
      <c r="AN155" s="20"/>
      <c r="AO155" s="20"/>
      <c r="AP155" s="20"/>
      <c r="AQ155" s="20"/>
      <c r="AR155" s="20"/>
      <c r="AS155" s="20"/>
      <c r="AT155" s="20"/>
      <c r="AU155" s="20"/>
      <c r="AV155" s="20"/>
      <c r="AW155" s="20"/>
      <c r="AX155" s="20"/>
      <c r="AY155" s="20"/>
      <c r="AZ155" s="20"/>
      <c r="BA155" s="20"/>
      <c r="BB155" s="20"/>
      <c r="BC155" s="21"/>
      <c r="BD155" s="21"/>
      <c r="BE155" s="20"/>
    </row>
    <row r="156" spans="1:57" x14ac:dyDescent="0.25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1"/>
      <c r="M156" s="21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  <c r="AE156" s="20"/>
      <c r="AF156" s="20"/>
      <c r="AG156" s="20"/>
      <c r="AH156" s="20"/>
      <c r="AI156" s="20"/>
      <c r="AJ156" s="20"/>
      <c r="AK156" s="20"/>
      <c r="AL156" s="20"/>
      <c r="AM156" s="20"/>
      <c r="AN156" s="20"/>
      <c r="AO156" s="20"/>
      <c r="AP156" s="20"/>
      <c r="AQ156" s="20"/>
      <c r="AR156" s="20"/>
      <c r="AS156" s="20"/>
      <c r="AT156" s="20"/>
      <c r="AU156" s="20"/>
      <c r="AV156" s="20"/>
      <c r="AW156" s="20"/>
      <c r="AX156" s="20"/>
      <c r="AY156" s="20"/>
      <c r="AZ156" s="20"/>
      <c r="BA156" s="20"/>
      <c r="BB156" s="20"/>
      <c r="BC156" s="21"/>
      <c r="BD156" s="21"/>
      <c r="BE156" s="20"/>
    </row>
    <row r="157" spans="1:57" x14ac:dyDescent="0.25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1"/>
      <c r="M157" s="21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  <c r="AE157" s="20"/>
      <c r="AF157" s="20"/>
      <c r="AG157" s="20"/>
      <c r="AH157" s="20"/>
      <c r="AI157" s="20"/>
      <c r="AJ157" s="20"/>
      <c r="AK157" s="20"/>
      <c r="AL157" s="20"/>
      <c r="AM157" s="20"/>
      <c r="AN157" s="20"/>
      <c r="AO157" s="20"/>
      <c r="AP157" s="20"/>
      <c r="AQ157" s="20"/>
      <c r="AR157" s="20"/>
      <c r="AS157" s="20"/>
      <c r="AT157" s="20"/>
      <c r="AU157" s="20"/>
      <c r="AV157" s="20"/>
      <c r="AW157" s="20"/>
      <c r="AX157" s="20"/>
      <c r="AY157" s="20"/>
      <c r="AZ157" s="20"/>
      <c r="BA157" s="20"/>
      <c r="BB157" s="20"/>
      <c r="BC157" s="21"/>
      <c r="BD157" s="21"/>
      <c r="BE157" s="20"/>
    </row>
    <row r="158" spans="1:57" x14ac:dyDescent="0.25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1"/>
      <c r="M158" s="21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  <c r="AE158" s="20"/>
      <c r="AF158" s="20"/>
      <c r="AG158" s="20"/>
      <c r="AH158" s="20"/>
      <c r="AI158" s="20"/>
      <c r="AJ158" s="20"/>
      <c r="AK158" s="20"/>
      <c r="AL158" s="20"/>
      <c r="AM158" s="20"/>
      <c r="AN158" s="20"/>
      <c r="AO158" s="20"/>
      <c r="AP158" s="20"/>
      <c r="AQ158" s="20"/>
      <c r="AR158" s="20"/>
      <c r="AS158" s="20"/>
      <c r="AT158" s="20"/>
      <c r="AU158" s="20"/>
      <c r="AV158" s="20"/>
      <c r="AW158" s="20"/>
      <c r="AX158" s="20"/>
      <c r="AY158" s="20"/>
      <c r="AZ158" s="20"/>
      <c r="BA158" s="20"/>
      <c r="BB158" s="20"/>
      <c r="BC158" s="21"/>
      <c r="BD158" s="21"/>
      <c r="BE158" s="20"/>
    </row>
    <row r="159" spans="1:57" x14ac:dyDescent="0.25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1"/>
      <c r="M159" s="21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/>
      <c r="AK159" s="20"/>
      <c r="AL159" s="20"/>
      <c r="AM159" s="20"/>
      <c r="AN159" s="20"/>
      <c r="AO159" s="20"/>
      <c r="AP159" s="20"/>
      <c r="AQ159" s="20"/>
      <c r="AR159" s="20"/>
      <c r="AS159" s="20"/>
      <c r="AT159" s="20"/>
      <c r="AU159" s="20"/>
      <c r="AV159" s="20"/>
      <c r="AW159" s="20"/>
      <c r="AX159" s="20"/>
      <c r="AY159" s="20"/>
      <c r="AZ159" s="20"/>
      <c r="BA159" s="20"/>
      <c r="BB159" s="20"/>
      <c r="BC159" s="21"/>
      <c r="BD159" s="21"/>
      <c r="BE159" s="20"/>
    </row>
    <row r="160" spans="1:57" x14ac:dyDescent="0.25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1"/>
      <c r="M160" s="21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0"/>
      <c r="AL160" s="20"/>
      <c r="AM160" s="20"/>
      <c r="AN160" s="20"/>
      <c r="AO160" s="20"/>
      <c r="AP160" s="20"/>
      <c r="AQ160" s="20"/>
      <c r="AR160" s="20"/>
      <c r="AS160" s="20"/>
      <c r="AT160" s="20"/>
      <c r="AU160" s="20"/>
      <c r="AV160" s="20"/>
      <c r="AW160" s="20"/>
      <c r="AX160" s="20"/>
      <c r="AY160" s="20"/>
      <c r="AZ160" s="20"/>
      <c r="BA160" s="20"/>
      <c r="BB160" s="20"/>
      <c r="BC160" s="21"/>
      <c r="BD160" s="21"/>
      <c r="BE160" s="20"/>
    </row>
    <row r="161" spans="1:57" x14ac:dyDescent="0.25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1"/>
      <c r="M161" s="21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  <c r="AE161" s="20"/>
      <c r="AF161" s="20"/>
      <c r="AG161" s="20"/>
      <c r="AH161" s="20"/>
      <c r="AI161" s="20"/>
      <c r="AJ161" s="20"/>
      <c r="AK161" s="20"/>
      <c r="AL161" s="20"/>
      <c r="AM161" s="20"/>
      <c r="AN161" s="20"/>
      <c r="AO161" s="20"/>
      <c r="AP161" s="20"/>
      <c r="AQ161" s="20"/>
      <c r="AR161" s="20"/>
      <c r="AS161" s="20"/>
      <c r="AT161" s="20"/>
      <c r="AU161" s="20"/>
      <c r="AV161" s="20"/>
      <c r="AW161" s="20"/>
      <c r="AX161" s="20"/>
      <c r="AY161" s="20"/>
      <c r="AZ161" s="20"/>
      <c r="BA161" s="20"/>
      <c r="BB161" s="20"/>
      <c r="BC161" s="21"/>
      <c r="BD161" s="21"/>
      <c r="BE161" s="20"/>
    </row>
    <row r="162" spans="1:57" x14ac:dyDescent="0.25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1"/>
      <c r="M162" s="21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/>
      <c r="AK162" s="20"/>
      <c r="AL162" s="20"/>
      <c r="AM162" s="20"/>
      <c r="AN162" s="20"/>
      <c r="AO162" s="20"/>
      <c r="AP162" s="20"/>
      <c r="AQ162" s="20"/>
      <c r="AR162" s="20"/>
      <c r="AS162" s="20"/>
      <c r="AT162" s="20"/>
      <c r="AU162" s="20"/>
      <c r="AV162" s="20"/>
      <c r="AW162" s="20"/>
      <c r="AX162" s="20"/>
      <c r="AY162" s="20"/>
      <c r="AZ162" s="20"/>
      <c r="BA162" s="20"/>
      <c r="BB162" s="20"/>
      <c r="BC162" s="21"/>
      <c r="BD162" s="21"/>
      <c r="BE162" s="20"/>
    </row>
    <row r="163" spans="1:57" x14ac:dyDescent="0.25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1"/>
      <c r="M163" s="21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0"/>
      <c r="AL163" s="20"/>
      <c r="AM163" s="20"/>
      <c r="AN163" s="20"/>
      <c r="AO163" s="20"/>
      <c r="AP163" s="20"/>
      <c r="AQ163" s="20"/>
      <c r="AR163" s="20"/>
      <c r="AS163" s="20"/>
      <c r="AT163" s="20"/>
      <c r="AU163" s="20"/>
      <c r="AV163" s="20"/>
      <c r="AW163" s="20"/>
      <c r="AX163" s="20"/>
      <c r="AY163" s="20"/>
      <c r="AZ163" s="20"/>
      <c r="BA163" s="20"/>
      <c r="BB163" s="20"/>
      <c r="BC163" s="21"/>
      <c r="BD163" s="21"/>
      <c r="BE163" s="20"/>
    </row>
    <row r="164" spans="1:57" x14ac:dyDescent="0.25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1"/>
      <c r="M164" s="21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0"/>
      <c r="AL164" s="20"/>
      <c r="AM164" s="20"/>
      <c r="AN164" s="20"/>
      <c r="AO164" s="20"/>
      <c r="AP164" s="20"/>
      <c r="AQ164" s="20"/>
      <c r="AR164" s="20"/>
      <c r="AS164" s="20"/>
      <c r="AT164" s="20"/>
      <c r="AU164" s="20"/>
      <c r="AV164" s="20"/>
      <c r="AW164" s="20"/>
      <c r="AX164" s="20"/>
      <c r="AY164" s="20"/>
      <c r="AZ164" s="20"/>
      <c r="BA164" s="20"/>
      <c r="BB164" s="20"/>
      <c r="BC164" s="21"/>
      <c r="BD164" s="21"/>
      <c r="BE164" s="20"/>
    </row>
    <row r="165" spans="1:57" x14ac:dyDescent="0.25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1"/>
      <c r="M165" s="21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0"/>
      <c r="AL165" s="20"/>
      <c r="AM165" s="20"/>
      <c r="AN165" s="20"/>
      <c r="AO165" s="20"/>
      <c r="AP165" s="20"/>
      <c r="AQ165" s="20"/>
      <c r="AR165" s="20"/>
      <c r="AS165" s="20"/>
      <c r="AT165" s="20"/>
      <c r="AU165" s="20"/>
      <c r="AV165" s="20"/>
      <c r="AW165" s="20"/>
      <c r="AX165" s="20"/>
      <c r="AY165" s="20"/>
      <c r="AZ165" s="20"/>
      <c r="BA165" s="20"/>
      <c r="BB165" s="20"/>
      <c r="BC165" s="21"/>
      <c r="BD165" s="21"/>
      <c r="BE165" s="20"/>
    </row>
    <row r="166" spans="1:57" x14ac:dyDescent="0.25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1"/>
      <c r="M166" s="21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0"/>
      <c r="AL166" s="20"/>
      <c r="AM166" s="20"/>
      <c r="AN166" s="20"/>
      <c r="AO166" s="20"/>
      <c r="AP166" s="20"/>
      <c r="AQ166" s="20"/>
      <c r="AR166" s="20"/>
      <c r="AS166" s="20"/>
      <c r="AT166" s="20"/>
      <c r="AU166" s="20"/>
      <c r="AV166" s="20"/>
      <c r="AW166" s="20"/>
      <c r="AX166" s="20"/>
      <c r="AY166" s="20"/>
      <c r="AZ166" s="20"/>
      <c r="BA166" s="20"/>
      <c r="BB166" s="20"/>
      <c r="BC166" s="21"/>
      <c r="BD166" s="21"/>
      <c r="BE166" s="20"/>
    </row>
    <row r="167" spans="1:57" x14ac:dyDescent="0.25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1"/>
      <c r="M167" s="21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  <c r="AE167" s="20"/>
      <c r="AF167" s="20"/>
      <c r="AG167" s="20"/>
      <c r="AH167" s="20"/>
      <c r="AI167" s="20"/>
      <c r="AJ167" s="20"/>
      <c r="AK167" s="20"/>
      <c r="AL167" s="20"/>
      <c r="AM167" s="20"/>
      <c r="AN167" s="20"/>
      <c r="AO167" s="20"/>
      <c r="AP167" s="20"/>
      <c r="AQ167" s="20"/>
      <c r="AR167" s="20"/>
      <c r="AS167" s="20"/>
      <c r="AT167" s="20"/>
      <c r="AU167" s="20"/>
      <c r="AV167" s="20"/>
      <c r="AW167" s="20"/>
      <c r="AX167" s="20"/>
      <c r="AY167" s="20"/>
      <c r="AZ167" s="20"/>
      <c r="BA167" s="20"/>
      <c r="BB167" s="20"/>
      <c r="BC167" s="21"/>
      <c r="BD167" s="21"/>
      <c r="BE167" s="20"/>
    </row>
    <row r="168" spans="1:57" x14ac:dyDescent="0.25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1"/>
      <c r="M168" s="21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  <c r="AE168" s="20"/>
      <c r="AF168" s="20"/>
      <c r="AG168" s="20"/>
      <c r="AH168" s="20"/>
      <c r="AI168" s="20"/>
      <c r="AJ168" s="20"/>
      <c r="AK168" s="20"/>
      <c r="AL168" s="20"/>
      <c r="AM168" s="20"/>
      <c r="AN168" s="20"/>
      <c r="AO168" s="20"/>
      <c r="AP168" s="20"/>
      <c r="AQ168" s="20"/>
      <c r="AR168" s="20"/>
      <c r="AS168" s="20"/>
      <c r="AT168" s="20"/>
      <c r="AU168" s="20"/>
      <c r="AV168" s="20"/>
      <c r="AW168" s="20"/>
      <c r="AX168" s="20"/>
      <c r="AY168" s="20"/>
      <c r="AZ168" s="20"/>
      <c r="BA168" s="20"/>
      <c r="BB168" s="20"/>
      <c r="BC168" s="21"/>
      <c r="BD168" s="21"/>
      <c r="BE168" s="20"/>
    </row>
    <row r="169" spans="1:57" x14ac:dyDescent="0.25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1"/>
      <c r="M169" s="21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  <c r="AE169" s="20"/>
      <c r="AF169" s="20"/>
      <c r="AG169" s="20"/>
      <c r="AH169" s="20"/>
      <c r="AI169" s="20"/>
      <c r="AJ169" s="20"/>
      <c r="AK169" s="20"/>
      <c r="AL169" s="20"/>
      <c r="AM169" s="20"/>
      <c r="AN169" s="20"/>
      <c r="AO169" s="20"/>
      <c r="AP169" s="20"/>
      <c r="AQ169" s="20"/>
      <c r="AR169" s="20"/>
      <c r="AS169" s="20"/>
      <c r="AT169" s="20"/>
      <c r="AU169" s="20"/>
      <c r="AV169" s="20"/>
      <c r="AW169" s="20"/>
      <c r="AX169" s="20"/>
      <c r="AY169" s="20"/>
      <c r="AZ169" s="20"/>
      <c r="BA169" s="20"/>
      <c r="BB169" s="20"/>
      <c r="BC169" s="21"/>
      <c r="BD169" s="21"/>
      <c r="BE169" s="20"/>
    </row>
    <row r="170" spans="1:57" x14ac:dyDescent="0.25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1"/>
      <c r="M170" s="21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  <c r="AE170" s="20"/>
      <c r="AF170" s="20"/>
      <c r="AG170" s="20"/>
      <c r="AH170" s="20"/>
      <c r="AI170" s="20"/>
      <c r="AJ170" s="20"/>
      <c r="AK170" s="20"/>
      <c r="AL170" s="20"/>
      <c r="AM170" s="20"/>
      <c r="AN170" s="20"/>
      <c r="AO170" s="20"/>
      <c r="AP170" s="20"/>
      <c r="AQ170" s="20"/>
      <c r="AR170" s="20"/>
      <c r="AS170" s="20"/>
      <c r="AT170" s="20"/>
      <c r="AU170" s="20"/>
      <c r="AV170" s="20"/>
      <c r="AW170" s="20"/>
      <c r="AX170" s="20"/>
      <c r="AY170" s="20"/>
      <c r="AZ170" s="20"/>
      <c r="BA170" s="20"/>
      <c r="BB170" s="20"/>
      <c r="BC170" s="21"/>
      <c r="BD170" s="21"/>
      <c r="BE170" s="20"/>
    </row>
    <row r="171" spans="1:57" x14ac:dyDescent="0.25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1"/>
      <c r="M171" s="21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0"/>
      <c r="AL171" s="20"/>
      <c r="AM171" s="20"/>
      <c r="AN171" s="20"/>
      <c r="AO171" s="20"/>
      <c r="AP171" s="20"/>
      <c r="AQ171" s="20"/>
      <c r="AR171" s="20"/>
      <c r="AS171" s="20"/>
      <c r="AT171" s="20"/>
      <c r="AU171" s="20"/>
      <c r="AV171" s="20"/>
      <c r="AW171" s="20"/>
      <c r="AX171" s="20"/>
      <c r="AY171" s="20"/>
      <c r="AZ171" s="20"/>
      <c r="BA171" s="20"/>
      <c r="BB171" s="20"/>
      <c r="BC171" s="21"/>
      <c r="BD171" s="21"/>
      <c r="BE171" s="20"/>
    </row>
    <row r="172" spans="1:57" x14ac:dyDescent="0.25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1"/>
      <c r="M172" s="21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  <c r="AE172" s="20"/>
      <c r="AF172" s="20"/>
      <c r="AG172" s="20"/>
      <c r="AH172" s="20"/>
      <c r="AI172" s="20"/>
      <c r="AJ172" s="20"/>
      <c r="AK172" s="20"/>
      <c r="AL172" s="20"/>
      <c r="AM172" s="20"/>
      <c r="AN172" s="20"/>
      <c r="AO172" s="20"/>
      <c r="AP172" s="20"/>
      <c r="AQ172" s="20"/>
      <c r="AR172" s="20"/>
      <c r="AS172" s="20"/>
      <c r="AT172" s="20"/>
      <c r="AU172" s="20"/>
      <c r="AV172" s="20"/>
      <c r="AW172" s="20"/>
      <c r="AX172" s="20"/>
      <c r="AY172" s="20"/>
      <c r="AZ172" s="20"/>
      <c r="BA172" s="20"/>
      <c r="BB172" s="20"/>
      <c r="BC172" s="21"/>
      <c r="BD172" s="21"/>
      <c r="BE172" s="20"/>
    </row>
    <row r="173" spans="1:57" x14ac:dyDescent="0.25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1"/>
      <c r="M173" s="21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  <c r="AE173" s="20"/>
      <c r="AF173" s="20"/>
      <c r="AG173" s="20"/>
      <c r="AH173" s="20"/>
      <c r="AI173" s="20"/>
      <c r="AJ173" s="20"/>
      <c r="AK173" s="20"/>
      <c r="AL173" s="20"/>
      <c r="AM173" s="20"/>
      <c r="AN173" s="20"/>
      <c r="AO173" s="20"/>
      <c r="AP173" s="20"/>
      <c r="AQ173" s="20"/>
      <c r="AR173" s="20"/>
      <c r="AS173" s="20"/>
      <c r="AT173" s="20"/>
      <c r="AU173" s="20"/>
      <c r="AV173" s="20"/>
      <c r="AW173" s="20"/>
      <c r="AX173" s="20"/>
      <c r="AY173" s="20"/>
      <c r="AZ173" s="20"/>
      <c r="BA173" s="20"/>
      <c r="BB173" s="20"/>
      <c r="BC173" s="21"/>
      <c r="BD173" s="21"/>
      <c r="BE173" s="20"/>
    </row>
    <row r="174" spans="1:57" x14ac:dyDescent="0.25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1"/>
      <c r="M174" s="21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  <c r="AE174" s="20"/>
      <c r="AF174" s="20"/>
      <c r="AG174" s="20"/>
      <c r="AH174" s="20"/>
      <c r="AI174" s="20"/>
      <c r="AJ174" s="20"/>
      <c r="AK174" s="20"/>
      <c r="AL174" s="20"/>
      <c r="AM174" s="20"/>
      <c r="AN174" s="20"/>
      <c r="AO174" s="20"/>
      <c r="AP174" s="20"/>
      <c r="AQ174" s="20"/>
      <c r="AR174" s="20"/>
      <c r="AS174" s="20"/>
      <c r="AT174" s="20"/>
      <c r="AU174" s="20"/>
      <c r="AV174" s="20"/>
      <c r="AW174" s="20"/>
      <c r="AX174" s="20"/>
      <c r="AY174" s="20"/>
      <c r="AZ174" s="20"/>
      <c r="BA174" s="20"/>
      <c r="BB174" s="20"/>
      <c r="BC174" s="21"/>
      <c r="BD174" s="21"/>
      <c r="BE174" s="20"/>
    </row>
    <row r="175" spans="1:57" x14ac:dyDescent="0.25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1"/>
      <c r="M175" s="21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  <c r="AE175" s="20"/>
      <c r="AF175" s="20"/>
      <c r="AG175" s="20"/>
      <c r="AH175" s="20"/>
      <c r="AI175" s="20"/>
      <c r="AJ175" s="20"/>
      <c r="AK175" s="20"/>
      <c r="AL175" s="20"/>
      <c r="AM175" s="20"/>
      <c r="AN175" s="20"/>
      <c r="AO175" s="20"/>
      <c r="AP175" s="20"/>
      <c r="AQ175" s="20"/>
      <c r="AR175" s="20"/>
      <c r="AS175" s="20"/>
      <c r="AT175" s="20"/>
      <c r="AU175" s="20"/>
      <c r="AV175" s="20"/>
      <c r="AW175" s="20"/>
      <c r="AX175" s="20"/>
      <c r="AY175" s="20"/>
      <c r="AZ175" s="20"/>
      <c r="BA175" s="20"/>
      <c r="BB175" s="20"/>
      <c r="BC175" s="21"/>
      <c r="BD175" s="21"/>
      <c r="BE175" s="20"/>
    </row>
    <row r="176" spans="1:57" x14ac:dyDescent="0.25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1"/>
      <c r="M176" s="21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  <c r="AE176" s="20"/>
      <c r="AF176" s="20"/>
      <c r="AG176" s="20"/>
      <c r="AH176" s="20"/>
      <c r="AI176" s="20"/>
      <c r="AJ176" s="20"/>
      <c r="AK176" s="20"/>
      <c r="AL176" s="20"/>
      <c r="AM176" s="20"/>
      <c r="AN176" s="20"/>
      <c r="AO176" s="20"/>
      <c r="AP176" s="20"/>
      <c r="AQ176" s="20"/>
      <c r="AR176" s="20"/>
      <c r="AS176" s="20"/>
      <c r="AT176" s="20"/>
      <c r="AU176" s="20"/>
      <c r="AV176" s="20"/>
      <c r="AW176" s="20"/>
      <c r="AX176" s="20"/>
      <c r="AY176" s="20"/>
      <c r="AZ176" s="20"/>
      <c r="BA176" s="20"/>
      <c r="BB176" s="20"/>
      <c r="BC176" s="21"/>
      <c r="BD176" s="21"/>
      <c r="BE176" s="20"/>
    </row>
    <row r="177" spans="1:57" x14ac:dyDescent="0.25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1"/>
      <c r="M177" s="21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  <c r="AE177" s="20"/>
      <c r="AF177" s="20"/>
      <c r="AG177" s="20"/>
      <c r="AH177" s="20"/>
      <c r="AI177" s="20"/>
      <c r="AJ177" s="20"/>
      <c r="AK177" s="20"/>
      <c r="AL177" s="20"/>
      <c r="AM177" s="20"/>
      <c r="AN177" s="20"/>
      <c r="AO177" s="20"/>
      <c r="AP177" s="20"/>
      <c r="AQ177" s="20"/>
      <c r="AR177" s="20"/>
      <c r="AS177" s="20"/>
      <c r="AT177" s="20"/>
      <c r="AU177" s="20"/>
      <c r="AV177" s="20"/>
      <c r="AW177" s="20"/>
      <c r="AX177" s="20"/>
      <c r="AY177" s="20"/>
      <c r="AZ177" s="20"/>
      <c r="BA177" s="20"/>
      <c r="BB177" s="20"/>
      <c r="BC177" s="21"/>
      <c r="BD177" s="21"/>
      <c r="BE177" s="20"/>
    </row>
    <row r="178" spans="1:57" x14ac:dyDescent="0.25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1"/>
      <c r="M178" s="21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  <c r="AE178" s="20"/>
      <c r="AF178" s="20"/>
      <c r="AG178" s="20"/>
      <c r="AH178" s="20"/>
      <c r="AI178" s="20"/>
      <c r="AJ178" s="20"/>
      <c r="AK178" s="20"/>
      <c r="AL178" s="20"/>
      <c r="AM178" s="20"/>
      <c r="AN178" s="20"/>
      <c r="AO178" s="20"/>
      <c r="AP178" s="20"/>
      <c r="AQ178" s="20"/>
      <c r="AR178" s="20"/>
      <c r="AS178" s="20"/>
      <c r="AT178" s="20"/>
      <c r="AU178" s="20"/>
      <c r="AV178" s="20"/>
      <c r="AW178" s="20"/>
      <c r="AX178" s="20"/>
      <c r="AY178" s="20"/>
      <c r="AZ178" s="20"/>
      <c r="BA178" s="20"/>
      <c r="BB178" s="20"/>
      <c r="BC178" s="21"/>
      <c r="BD178" s="21"/>
      <c r="BE178" s="20"/>
    </row>
    <row r="179" spans="1:57" x14ac:dyDescent="0.25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1"/>
      <c r="M179" s="21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  <c r="AE179" s="20"/>
      <c r="AF179" s="20"/>
      <c r="AG179" s="20"/>
      <c r="AH179" s="20"/>
      <c r="AI179" s="20"/>
      <c r="AJ179" s="20"/>
      <c r="AK179" s="20"/>
      <c r="AL179" s="20"/>
      <c r="AM179" s="20"/>
      <c r="AN179" s="20"/>
      <c r="AO179" s="20"/>
      <c r="AP179" s="20"/>
      <c r="AQ179" s="20"/>
      <c r="AR179" s="20"/>
      <c r="AS179" s="20"/>
      <c r="AT179" s="20"/>
      <c r="AU179" s="20"/>
      <c r="AV179" s="20"/>
      <c r="AW179" s="20"/>
      <c r="AX179" s="20"/>
      <c r="AY179" s="20"/>
      <c r="AZ179" s="20"/>
      <c r="BA179" s="20"/>
      <c r="BB179" s="20"/>
      <c r="BC179" s="21"/>
      <c r="BD179" s="21"/>
      <c r="BE179" s="20"/>
    </row>
    <row r="180" spans="1:57" x14ac:dyDescent="0.25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1"/>
      <c r="M180" s="21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  <c r="AE180" s="20"/>
      <c r="AF180" s="20"/>
      <c r="AG180" s="20"/>
      <c r="AH180" s="20"/>
      <c r="AI180" s="20"/>
      <c r="AJ180" s="20"/>
      <c r="AK180" s="20"/>
      <c r="AL180" s="20"/>
      <c r="AM180" s="20"/>
      <c r="AN180" s="20"/>
      <c r="AO180" s="20"/>
      <c r="AP180" s="20"/>
      <c r="AQ180" s="20"/>
      <c r="AR180" s="20"/>
      <c r="AS180" s="20"/>
      <c r="AT180" s="20"/>
      <c r="AU180" s="20"/>
      <c r="AV180" s="20"/>
      <c r="AW180" s="20"/>
      <c r="AX180" s="20"/>
      <c r="AY180" s="20"/>
      <c r="AZ180" s="20"/>
      <c r="BA180" s="20"/>
      <c r="BB180" s="20"/>
      <c r="BC180" s="21"/>
      <c r="BD180" s="21"/>
      <c r="BE180" s="20"/>
    </row>
    <row r="181" spans="1:57" x14ac:dyDescent="0.25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1"/>
      <c r="M181" s="21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  <c r="AE181" s="20"/>
      <c r="AF181" s="20"/>
      <c r="AG181" s="20"/>
      <c r="AH181" s="20"/>
      <c r="AI181" s="20"/>
      <c r="AJ181" s="20"/>
      <c r="AK181" s="20"/>
      <c r="AL181" s="20"/>
      <c r="AM181" s="20"/>
      <c r="AN181" s="20"/>
      <c r="AO181" s="20"/>
      <c r="AP181" s="20"/>
      <c r="AQ181" s="20"/>
      <c r="AR181" s="20"/>
      <c r="AS181" s="20"/>
      <c r="AT181" s="20"/>
      <c r="AU181" s="20"/>
      <c r="AV181" s="20"/>
      <c r="AW181" s="20"/>
      <c r="AX181" s="20"/>
      <c r="AY181" s="20"/>
      <c r="AZ181" s="20"/>
      <c r="BA181" s="20"/>
      <c r="BB181" s="20"/>
      <c r="BC181" s="21"/>
      <c r="BD181" s="21"/>
      <c r="BE181" s="20"/>
    </row>
    <row r="182" spans="1:57" x14ac:dyDescent="0.25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1"/>
      <c r="M182" s="21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  <c r="AE182" s="20"/>
      <c r="AF182" s="20"/>
      <c r="AG182" s="20"/>
      <c r="AH182" s="20"/>
      <c r="AI182" s="20"/>
      <c r="AJ182" s="20"/>
      <c r="AK182" s="20"/>
      <c r="AL182" s="20"/>
      <c r="AM182" s="20"/>
      <c r="AN182" s="20"/>
      <c r="AO182" s="20"/>
      <c r="AP182" s="20"/>
      <c r="AQ182" s="20"/>
      <c r="AR182" s="20"/>
      <c r="AS182" s="20"/>
      <c r="AT182" s="20"/>
      <c r="AU182" s="20"/>
      <c r="AV182" s="20"/>
      <c r="AW182" s="20"/>
      <c r="AX182" s="20"/>
      <c r="AY182" s="20"/>
      <c r="AZ182" s="20"/>
      <c r="BA182" s="20"/>
      <c r="BB182" s="20"/>
      <c r="BC182" s="21"/>
      <c r="BD182" s="21"/>
      <c r="BE182" s="20"/>
    </row>
    <row r="183" spans="1:57" x14ac:dyDescent="0.25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1"/>
      <c r="M183" s="21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  <c r="AE183" s="20"/>
      <c r="AF183" s="20"/>
      <c r="AG183" s="20"/>
      <c r="AH183" s="20"/>
      <c r="AI183" s="20"/>
      <c r="AJ183" s="20"/>
      <c r="AK183" s="20"/>
      <c r="AL183" s="20"/>
      <c r="AM183" s="20"/>
      <c r="AN183" s="20"/>
      <c r="AO183" s="20"/>
      <c r="AP183" s="20"/>
      <c r="AQ183" s="20"/>
      <c r="AR183" s="20"/>
      <c r="AS183" s="20"/>
      <c r="AT183" s="20"/>
      <c r="AU183" s="20"/>
      <c r="AV183" s="20"/>
      <c r="AW183" s="20"/>
      <c r="AX183" s="20"/>
      <c r="AY183" s="20"/>
      <c r="AZ183" s="20"/>
      <c r="BA183" s="20"/>
      <c r="BB183" s="20"/>
      <c r="BC183" s="21"/>
      <c r="BD183" s="21"/>
      <c r="BE183" s="20"/>
    </row>
    <row r="184" spans="1:57" x14ac:dyDescent="0.25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1"/>
      <c r="M184" s="21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  <c r="AE184" s="20"/>
      <c r="AF184" s="20"/>
      <c r="AG184" s="20"/>
      <c r="AH184" s="20"/>
      <c r="AI184" s="20"/>
      <c r="AJ184" s="20"/>
      <c r="AK184" s="20"/>
      <c r="AL184" s="20"/>
      <c r="AM184" s="20"/>
      <c r="AN184" s="20"/>
      <c r="AO184" s="20"/>
      <c r="AP184" s="20"/>
      <c r="AQ184" s="20"/>
      <c r="AR184" s="20"/>
      <c r="AS184" s="20"/>
      <c r="AT184" s="20"/>
      <c r="AU184" s="20"/>
      <c r="AV184" s="20"/>
      <c r="AW184" s="20"/>
      <c r="AX184" s="20"/>
      <c r="AY184" s="20"/>
      <c r="AZ184" s="20"/>
      <c r="BA184" s="20"/>
      <c r="BB184" s="20"/>
      <c r="BC184" s="21"/>
      <c r="BD184" s="21"/>
      <c r="BE184" s="20"/>
    </row>
    <row r="185" spans="1:57" x14ac:dyDescent="0.25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1"/>
      <c r="M185" s="21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  <c r="AE185" s="20"/>
      <c r="AF185" s="20"/>
      <c r="AG185" s="20"/>
      <c r="AH185" s="20"/>
      <c r="AI185" s="20"/>
      <c r="AJ185" s="20"/>
      <c r="AK185" s="20"/>
      <c r="AL185" s="20"/>
      <c r="AM185" s="20"/>
      <c r="AN185" s="20"/>
      <c r="AO185" s="20"/>
      <c r="AP185" s="20"/>
      <c r="AQ185" s="20"/>
      <c r="AR185" s="20"/>
      <c r="AS185" s="20"/>
      <c r="AT185" s="20"/>
      <c r="AU185" s="20"/>
      <c r="AV185" s="20"/>
      <c r="AW185" s="20"/>
      <c r="AX185" s="20"/>
      <c r="AY185" s="20"/>
      <c r="AZ185" s="20"/>
      <c r="BA185" s="20"/>
      <c r="BB185" s="20"/>
      <c r="BC185" s="21"/>
      <c r="BD185" s="21"/>
      <c r="BE185" s="20"/>
    </row>
    <row r="186" spans="1:57" x14ac:dyDescent="0.25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1"/>
      <c r="M186" s="21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  <c r="AE186" s="20"/>
      <c r="AF186" s="20"/>
      <c r="AG186" s="20"/>
      <c r="AH186" s="20"/>
      <c r="AI186" s="20"/>
      <c r="AJ186" s="20"/>
      <c r="AK186" s="20"/>
      <c r="AL186" s="20"/>
      <c r="AM186" s="20"/>
      <c r="AN186" s="20"/>
      <c r="AO186" s="20"/>
      <c r="AP186" s="20"/>
      <c r="AQ186" s="20"/>
      <c r="AR186" s="20"/>
      <c r="AS186" s="20"/>
      <c r="AT186" s="20"/>
      <c r="AU186" s="20"/>
      <c r="AV186" s="20"/>
      <c r="AW186" s="20"/>
      <c r="AX186" s="20"/>
      <c r="AY186" s="20"/>
      <c r="AZ186" s="20"/>
      <c r="BA186" s="20"/>
      <c r="BB186" s="20"/>
      <c r="BC186" s="21"/>
      <c r="BD186" s="21"/>
      <c r="BE186" s="20"/>
    </row>
    <row r="187" spans="1:57" x14ac:dyDescent="0.25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1"/>
      <c r="M187" s="21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  <c r="AE187" s="20"/>
      <c r="AF187" s="20"/>
      <c r="AG187" s="20"/>
      <c r="AH187" s="20"/>
      <c r="AI187" s="20"/>
      <c r="AJ187" s="20"/>
      <c r="AK187" s="20"/>
      <c r="AL187" s="20"/>
      <c r="AM187" s="20"/>
      <c r="AN187" s="20"/>
      <c r="AO187" s="20"/>
      <c r="AP187" s="20"/>
      <c r="AQ187" s="20"/>
      <c r="AR187" s="20"/>
      <c r="AS187" s="20"/>
      <c r="AT187" s="20"/>
      <c r="AU187" s="20"/>
      <c r="AV187" s="20"/>
      <c r="AW187" s="20"/>
      <c r="AX187" s="20"/>
      <c r="AY187" s="20"/>
      <c r="AZ187" s="20"/>
      <c r="BA187" s="20"/>
      <c r="BB187" s="20"/>
      <c r="BC187" s="21"/>
      <c r="BD187" s="21"/>
      <c r="BE187" s="20"/>
    </row>
    <row r="188" spans="1:57" x14ac:dyDescent="0.25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1"/>
      <c r="M188" s="21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  <c r="AE188" s="20"/>
      <c r="AF188" s="20"/>
      <c r="AG188" s="20"/>
      <c r="AH188" s="20"/>
      <c r="AI188" s="20"/>
      <c r="AJ188" s="20"/>
      <c r="AK188" s="20"/>
      <c r="AL188" s="20"/>
      <c r="AM188" s="20"/>
      <c r="AN188" s="20"/>
      <c r="AO188" s="20"/>
      <c r="AP188" s="20"/>
      <c r="AQ188" s="20"/>
      <c r="AR188" s="20"/>
      <c r="AS188" s="20"/>
      <c r="AT188" s="20"/>
      <c r="AU188" s="20"/>
      <c r="AV188" s="20"/>
      <c r="AW188" s="20"/>
      <c r="AX188" s="20"/>
      <c r="AY188" s="20"/>
      <c r="AZ188" s="20"/>
      <c r="BA188" s="20"/>
      <c r="BB188" s="20"/>
      <c r="BC188" s="21"/>
      <c r="BD188" s="21"/>
      <c r="BE188" s="20"/>
    </row>
    <row r="189" spans="1:57" x14ac:dyDescent="0.25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1"/>
      <c r="M189" s="21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  <c r="AE189" s="20"/>
      <c r="AF189" s="20"/>
      <c r="AG189" s="20"/>
      <c r="AH189" s="20"/>
      <c r="AI189" s="20"/>
      <c r="AJ189" s="20"/>
      <c r="AK189" s="20"/>
      <c r="AL189" s="20"/>
      <c r="AM189" s="20"/>
      <c r="AN189" s="20"/>
      <c r="AO189" s="20"/>
      <c r="AP189" s="20"/>
      <c r="AQ189" s="20"/>
      <c r="AR189" s="20"/>
      <c r="AS189" s="20"/>
      <c r="AT189" s="20"/>
      <c r="AU189" s="20"/>
      <c r="AV189" s="20"/>
      <c r="AW189" s="20"/>
      <c r="AX189" s="20"/>
      <c r="AY189" s="20"/>
      <c r="AZ189" s="20"/>
      <c r="BA189" s="20"/>
      <c r="BB189" s="20"/>
      <c r="BC189" s="21"/>
      <c r="BD189" s="21"/>
      <c r="BE189" s="20"/>
    </row>
    <row r="190" spans="1:57" x14ac:dyDescent="0.25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1"/>
      <c r="M190" s="21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  <c r="AE190" s="20"/>
      <c r="AF190" s="20"/>
      <c r="AG190" s="20"/>
      <c r="AH190" s="20"/>
      <c r="AI190" s="20"/>
      <c r="AJ190" s="20"/>
      <c r="AK190" s="20"/>
      <c r="AL190" s="20"/>
      <c r="AM190" s="20"/>
      <c r="AN190" s="20"/>
      <c r="AO190" s="20"/>
      <c r="AP190" s="20"/>
      <c r="AQ190" s="20"/>
      <c r="AR190" s="20"/>
      <c r="AS190" s="20"/>
      <c r="AT190" s="20"/>
      <c r="AU190" s="20"/>
      <c r="AV190" s="20"/>
      <c r="AW190" s="20"/>
      <c r="AX190" s="20"/>
      <c r="AY190" s="20"/>
      <c r="AZ190" s="20"/>
      <c r="BA190" s="20"/>
      <c r="BB190" s="20"/>
      <c r="BC190" s="21"/>
      <c r="BD190" s="21"/>
      <c r="BE190" s="20"/>
    </row>
    <row r="191" spans="1:57" x14ac:dyDescent="0.25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1"/>
      <c r="M191" s="21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  <c r="AE191" s="20"/>
      <c r="AF191" s="20"/>
      <c r="AG191" s="20"/>
      <c r="AH191" s="20"/>
      <c r="AI191" s="20"/>
      <c r="AJ191" s="20"/>
      <c r="AK191" s="20"/>
      <c r="AL191" s="20"/>
      <c r="AM191" s="20"/>
      <c r="AN191" s="20"/>
      <c r="AO191" s="20"/>
      <c r="AP191" s="20"/>
      <c r="AQ191" s="20"/>
      <c r="AR191" s="20"/>
      <c r="AS191" s="20"/>
      <c r="AT191" s="20"/>
      <c r="AU191" s="20"/>
      <c r="AV191" s="20"/>
      <c r="AW191" s="20"/>
      <c r="AX191" s="20"/>
      <c r="AY191" s="20"/>
      <c r="AZ191" s="20"/>
      <c r="BA191" s="20"/>
      <c r="BB191" s="20"/>
      <c r="BC191" s="21"/>
      <c r="BD191" s="21"/>
      <c r="BE191" s="20"/>
    </row>
    <row r="192" spans="1:57" x14ac:dyDescent="0.25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1"/>
      <c r="M192" s="21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  <c r="AE192" s="20"/>
      <c r="AF192" s="20"/>
      <c r="AG192" s="20"/>
      <c r="AH192" s="20"/>
      <c r="AI192" s="20"/>
      <c r="AJ192" s="20"/>
      <c r="AK192" s="20"/>
      <c r="AL192" s="20"/>
      <c r="AM192" s="20"/>
      <c r="AN192" s="20"/>
      <c r="AO192" s="20"/>
      <c r="AP192" s="20"/>
      <c r="AQ192" s="20"/>
      <c r="AR192" s="20"/>
      <c r="AS192" s="20"/>
      <c r="AT192" s="20"/>
      <c r="AU192" s="20"/>
      <c r="AV192" s="20"/>
      <c r="AW192" s="20"/>
      <c r="AX192" s="20"/>
      <c r="AY192" s="20"/>
      <c r="AZ192" s="20"/>
      <c r="BA192" s="20"/>
      <c r="BB192" s="20"/>
      <c r="BC192" s="21"/>
      <c r="BD192" s="21"/>
      <c r="BE192" s="20"/>
    </row>
    <row r="193" spans="1:57" x14ac:dyDescent="0.25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1"/>
      <c r="M193" s="21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  <c r="AE193" s="20"/>
      <c r="AF193" s="20"/>
      <c r="AG193" s="20"/>
      <c r="AH193" s="20"/>
      <c r="AI193" s="20"/>
      <c r="AJ193" s="20"/>
      <c r="AK193" s="20"/>
      <c r="AL193" s="20"/>
      <c r="AM193" s="20"/>
      <c r="AN193" s="20"/>
      <c r="AO193" s="20"/>
      <c r="AP193" s="20"/>
      <c r="AQ193" s="20"/>
      <c r="AR193" s="20"/>
      <c r="AS193" s="20"/>
      <c r="AT193" s="20"/>
      <c r="AU193" s="20"/>
      <c r="AV193" s="20"/>
      <c r="AW193" s="20"/>
      <c r="AX193" s="20"/>
      <c r="AY193" s="20"/>
      <c r="AZ193" s="20"/>
      <c r="BA193" s="20"/>
      <c r="BB193" s="20"/>
      <c r="BC193" s="21"/>
      <c r="BD193" s="21"/>
      <c r="BE193" s="20"/>
    </row>
    <row r="194" spans="1:57" x14ac:dyDescent="0.25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1"/>
      <c r="M194" s="21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  <c r="AE194" s="20"/>
      <c r="AF194" s="20"/>
      <c r="AG194" s="20"/>
      <c r="AH194" s="20"/>
      <c r="AI194" s="20"/>
      <c r="AJ194" s="20"/>
      <c r="AK194" s="20"/>
      <c r="AL194" s="20"/>
      <c r="AM194" s="20"/>
      <c r="AN194" s="20"/>
      <c r="AO194" s="20"/>
      <c r="AP194" s="20"/>
      <c r="AQ194" s="20"/>
      <c r="AR194" s="20"/>
      <c r="AS194" s="20"/>
      <c r="AT194" s="20"/>
      <c r="AU194" s="20"/>
      <c r="AV194" s="20"/>
      <c r="AW194" s="20"/>
      <c r="AX194" s="20"/>
      <c r="AY194" s="20"/>
      <c r="AZ194" s="20"/>
      <c r="BA194" s="20"/>
      <c r="BB194" s="20"/>
      <c r="BC194" s="21"/>
      <c r="BD194" s="21"/>
      <c r="BE194" s="20"/>
    </row>
    <row r="195" spans="1:57" x14ac:dyDescent="0.25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1"/>
      <c r="M195" s="21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  <c r="AE195" s="20"/>
      <c r="AF195" s="20"/>
      <c r="AG195" s="20"/>
      <c r="AH195" s="20"/>
      <c r="AI195" s="20"/>
      <c r="AJ195" s="20"/>
      <c r="AK195" s="20"/>
      <c r="AL195" s="20"/>
      <c r="AM195" s="20"/>
      <c r="AN195" s="20"/>
      <c r="AO195" s="20"/>
      <c r="AP195" s="20"/>
      <c r="AQ195" s="20"/>
      <c r="AR195" s="20"/>
      <c r="AS195" s="20"/>
      <c r="AT195" s="20"/>
      <c r="AU195" s="20"/>
      <c r="AV195" s="20"/>
      <c r="AW195" s="20"/>
      <c r="AX195" s="20"/>
      <c r="AY195" s="20"/>
      <c r="AZ195" s="20"/>
      <c r="BA195" s="20"/>
      <c r="BB195" s="20"/>
      <c r="BC195" s="21"/>
      <c r="BD195" s="21"/>
      <c r="BE195" s="20"/>
    </row>
    <row r="196" spans="1:57" x14ac:dyDescent="0.25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1"/>
      <c r="M196" s="21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  <c r="AE196" s="20"/>
      <c r="AF196" s="20"/>
      <c r="AG196" s="20"/>
      <c r="AH196" s="20"/>
      <c r="AI196" s="20"/>
      <c r="AJ196" s="20"/>
      <c r="AK196" s="20"/>
      <c r="AL196" s="20"/>
      <c r="AM196" s="20"/>
      <c r="AN196" s="20"/>
      <c r="AO196" s="20"/>
      <c r="AP196" s="20"/>
      <c r="AQ196" s="20"/>
      <c r="AR196" s="20"/>
      <c r="AS196" s="20"/>
      <c r="AT196" s="20"/>
      <c r="AU196" s="20"/>
      <c r="AV196" s="20"/>
      <c r="AW196" s="20"/>
      <c r="AX196" s="20"/>
      <c r="AY196" s="20"/>
      <c r="AZ196" s="20"/>
      <c r="BA196" s="20"/>
      <c r="BB196" s="20"/>
      <c r="BC196" s="21"/>
      <c r="BD196" s="21"/>
      <c r="BE196" s="20"/>
    </row>
    <row r="197" spans="1:57" x14ac:dyDescent="0.25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1"/>
      <c r="M197" s="21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  <c r="AE197" s="20"/>
      <c r="AF197" s="20"/>
      <c r="AG197" s="20"/>
      <c r="AH197" s="20"/>
      <c r="AI197" s="20"/>
      <c r="AJ197" s="20"/>
      <c r="AK197" s="20"/>
      <c r="AL197" s="20"/>
      <c r="AM197" s="20"/>
      <c r="AN197" s="20"/>
      <c r="AO197" s="20"/>
      <c r="AP197" s="20"/>
      <c r="AQ197" s="20"/>
      <c r="AR197" s="20"/>
      <c r="AS197" s="20"/>
      <c r="AT197" s="20"/>
      <c r="AU197" s="20"/>
      <c r="AV197" s="20"/>
      <c r="AW197" s="20"/>
      <c r="AX197" s="20"/>
      <c r="AY197" s="20"/>
      <c r="AZ197" s="20"/>
      <c r="BA197" s="20"/>
      <c r="BB197" s="20"/>
      <c r="BC197" s="21"/>
      <c r="BD197" s="21"/>
      <c r="BE197" s="20"/>
    </row>
    <row r="198" spans="1:57" x14ac:dyDescent="0.25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1"/>
      <c r="M198" s="21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  <c r="AE198" s="20"/>
      <c r="AF198" s="20"/>
      <c r="AG198" s="20"/>
      <c r="AH198" s="20"/>
      <c r="AI198" s="20"/>
      <c r="AJ198" s="20"/>
      <c r="AK198" s="20"/>
      <c r="AL198" s="20"/>
      <c r="AM198" s="20"/>
      <c r="AN198" s="20"/>
      <c r="AO198" s="20"/>
      <c r="AP198" s="20"/>
      <c r="AQ198" s="20"/>
      <c r="AR198" s="20"/>
      <c r="AS198" s="20"/>
      <c r="AT198" s="20"/>
      <c r="AU198" s="20"/>
      <c r="AV198" s="20"/>
      <c r="AW198" s="20"/>
      <c r="AX198" s="20"/>
      <c r="AY198" s="20"/>
      <c r="AZ198" s="20"/>
      <c r="BA198" s="20"/>
      <c r="BB198" s="20"/>
      <c r="BC198" s="21"/>
      <c r="BD198" s="21"/>
      <c r="BE198" s="20"/>
    </row>
    <row r="199" spans="1:57" x14ac:dyDescent="0.25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1"/>
      <c r="M199" s="21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  <c r="AE199" s="20"/>
      <c r="AF199" s="20"/>
      <c r="AG199" s="20"/>
      <c r="AH199" s="20"/>
      <c r="AI199" s="20"/>
      <c r="AJ199" s="20"/>
      <c r="AK199" s="20"/>
      <c r="AL199" s="20"/>
      <c r="AM199" s="20"/>
      <c r="AN199" s="20"/>
      <c r="AO199" s="20"/>
      <c r="AP199" s="20"/>
      <c r="AQ199" s="20"/>
      <c r="AR199" s="20"/>
      <c r="AS199" s="20"/>
      <c r="AT199" s="20"/>
      <c r="AU199" s="20"/>
      <c r="AV199" s="20"/>
      <c r="AW199" s="20"/>
      <c r="AX199" s="20"/>
      <c r="AY199" s="20"/>
      <c r="AZ199" s="20"/>
      <c r="BA199" s="20"/>
      <c r="BB199" s="20"/>
      <c r="BC199" s="21"/>
      <c r="BD199" s="21"/>
      <c r="BE199" s="20"/>
    </row>
  </sheetData>
  <mergeCells count="27">
    <mergeCell ref="AC3:AC4"/>
    <mergeCell ref="BC2:BC4"/>
    <mergeCell ref="BD2:BD4"/>
    <mergeCell ref="BE2:BE4"/>
    <mergeCell ref="B2:C4"/>
    <mergeCell ref="G2:G4"/>
    <mergeCell ref="W3:W4"/>
    <mergeCell ref="Y3:Y4"/>
    <mergeCell ref="Z3:Z4"/>
    <mergeCell ref="AA3:AA4"/>
    <mergeCell ref="AB3:AB4"/>
    <mergeCell ref="A1:BE1"/>
    <mergeCell ref="I2:AA2"/>
    <mergeCell ref="AD2:BB2"/>
    <mergeCell ref="I3:N3"/>
    <mergeCell ref="Q3:U3"/>
    <mergeCell ref="AD3:AL3"/>
    <mergeCell ref="AM3:AR3"/>
    <mergeCell ref="AS3:AU3"/>
    <mergeCell ref="AW3:AX3"/>
    <mergeCell ref="AY3:BB3"/>
    <mergeCell ref="A2:A4"/>
    <mergeCell ref="D2:D4"/>
    <mergeCell ref="E2:E4"/>
    <mergeCell ref="F2:F4"/>
    <mergeCell ref="H2:H4"/>
    <mergeCell ref="V3:V4"/>
  </mergeCells>
  <phoneticPr fontId="23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4"/>
  <sheetViews>
    <sheetView workbookViewId="0">
      <selection activeCell="F3" sqref="F3"/>
    </sheetView>
  </sheetViews>
  <sheetFormatPr defaultColWidth="9" defaultRowHeight="14.4" x14ac:dyDescent="0.25"/>
  <cols>
    <col min="1" max="1" width="11.88671875" customWidth="1"/>
    <col min="3" max="3" width="15.21875" customWidth="1"/>
    <col min="4" max="4" width="12.33203125" customWidth="1"/>
    <col min="5" max="5" width="10.33203125" customWidth="1"/>
    <col min="6" max="6" width="21.109375" customWidth="1"/>
    <col min="7" max="7" width="16.5546875" customWidth="1"/>
    <col min="8" max="8" width="10.33203125" customWidth="1"/>
    <col min="9" max="9" width="53.5546875" customWidth="1"/>
    <col min="11" max="11" width="10.33203125"/>
    <col min="14" max="14" width="12.6640625"/>
    <col min="16" max="16" width="12.6640625"/>
  </cols>
  <sheetData>
    <row r="1" spans="1:9" s="1" customFormat="1" ht="30" customHeight="1" x14ac:dyDescent="0.25">
      <c r="A1" s="24" t="s">
        <v>81</v>
      </c>
      <c r="B1" s="24"/>
      <c r="C1" s="24"/>
      <c r="D1" s="24"/>
      <c r="E1" s="24"/>
      <c r="F1" s="24"/>
      <c r="G1" s="24"/>
      <c r="H1" s="24"/>
      <c r="I1" s="24"/>
    </row>
    <row r="2" spans="1:9" s="2" customFormat="1" ht="25.05" customHeight="1" x14ac:dyDescent="0.25">
      <c r="A2" s="25" t="s">
        <v>1</v>
      </c>
      <c r="B2" s="25"/>
      <c r="C2" s="3" t="s">
        <v>82</v>
      </c>
      <c r="D2" s="4" t="s">
        <v>3</v>
      </c>
      <c r="E2" s="4" t="s">
        <v>2</v>
      </c>
      <c r="F2" s="4" t="s">
        <v>83</v>
      </c>
      <c r="G2" s="4" t="s">
        <v>84</v>
      </c>
      <c r="H2" s="4" t="s">
        <v>85</v>
      </c>
      <c r="I2" s="3" t="s">
        <v>9</v>
      </c>
    </row>
    <row r="3" spans="1:9" ht="19.95" customHeight="1" x14ac:dyDescent="0.25">
      <c r="A3" s="5" t="s">
        <v>43</v>
      </c>
      <c r="B3" s="6" t="s">
        <v>44</v>
      </c>
      <c r="C3" s="6"/>
      <c r="D3" s="7"/>
      <c r="E3" s="8">
        <v>510.47</v>
      </c>
      <c r="F3" s="9">
        <f>C3+D3+E3</f>
        <v>510.47</v>
      </c>
      <c r="G3" s="9">
        <v>510.6</v>
      </c>
      <c r="H3" s="10">
        <f>G3-F3</f>
        <v>0.12999999999999501</v>
      </c>
      <c r="I3" s="11"/>
    </row>
    <row r="4" spans="1:9" ht="19.95" customHeight="1" x14ac:dyDescent="0.25">
      <c r="A4" s="5" t="s">
        <v>45</v>
      </c>
      <c r="B4" s="6" t="s">
        <v>46</v>
      </c>
      <c r="C4" s="6"/>
      <c r="D4" s="8"/>
      <c r="E4" s="8">
        <v>332.6</v>
      </c>
      <c r="F4" s="9">
        <f>C4+D4+E4</f>
        <v>332.6</v>
      </c>
      <c r="G4" s="9">
        <v>332.6</v>
      </c>
      <c r="H4" s="10">
        <f>G4-F4</f>
        <v>0</v>
      </c>
      <c r="I4" s="11"/>
    </row>
    <row r="5" spans="1:9" ht="19.95" customHeight="1" x14ac:dyDescent="0.25">
      <c r="A5" s="5" t="s">
        <v>47</v>
      </c>
      <c r="B5" s="6" t="s">
        <v>48</v>
      </c>
      <c r="C5" s="6"/>
      <c r="D5" s="8"/>
      <c r="E5" s="8">
        <v>386.01</v>
      </c>
      <c r="F5" s="9">
        <f>C5+D5+E5</f>
        <v>386.01</v>
      </c>
      <c r="G5" s="9">
        <v>386.1</v>
      </c>
      <c r="H5" s="10">
        <f>G5-F5</f>
        <v>9.0000000000031805E-2</v>
      </c>
      <c r="I5" s="11"/>
    </row>
    <row r="6" spans="1:9" ht="19.95" customHeight="1" x14ac:dyDescent="0.25">
      <c r="A6" s="5" t="s">
        <v>49</v>
      </c>
      <c r="B6" s="6" t="s">
        <v>50</v>
      </c>
      <c r="C6" s="6"/>
      <c r="D6" s="8"/>
      <c r="E6" s="6">
        <v>333.97</v>
      </c>
      <c r="F6" s="9">
        <f t="shared" ref="F6:F12" si="0">C6+D6+E6</f>
        <v>333.97</v>
      </c>
      <c r="G6" s="9">
        <v>333.9</v>
      </c>
      <c r="H6" s="10">
        <f t="shared" ref="H6:H19" si="1">G6-F6</f>
        <v>-7.0000000000049994E-2</v>
      </c>
      <c r="I6" s="8"/>
    </row>
    <row r="7" spans="1:9" ht="19.95" customHeight="1" x14ac:dyDescent="0.25">
      <c r="A7" s="5" t="s">
        <v>51</v>
      </c>
      <c r="B7" s="6" t="s">
        <v>52</v>
      </c>
      <c r="C7" s="6"/>
      <c r="D7" s="8"/>
      <c r="E7" s="6">
        <v>470.67</v>
      </c>
      <c r="F7" s="9">
        <f t="shared" si="0"/>
        <v>470.67</v>
      </c>
      <c r="G7" s="9">
        <v>471</v>
      </c>
      <c r="H7" s="10">
        <f t="shared" si="1"/>
        <v>0.32999999999998397</v>
      </c>
      <c r="I7" s="12"/>
    </row>
    <row r="8" spans="1:9" ht="19.95" customHeight="1" x14ac:dyDescent="0.25">
      <c r="A8" s="5" t="s">
        <v>53</v>
      </c>
      <c r="B8" s="6" t="s">
        <v>54</v>
      </c>
      <c r="C8" s="6"/>
      <c r="D8" s="8"/>
      <c r="E8" s="6"/>
      <c r="F8" s="9">
        <f t="shared" si="0"/>
        <v>0</v>
      </c>
      <c r="G8" s="9"/>
      <c r="H8" s="10">
        <f t="shared" si="1"/>
        <v>0</v>
      </c>
      <c r="I8" s="8"/>
    </row>
    <row r="9" spans="1:9" ht="19.95" customHeight="1" x14ac:dyDescent="0.25">
      <c r="A9" s="5" t="s">
        <v>55</v>
      </c>
      <c r="B9" s="6" t="s">
        <v>56</v>
      </c>
      <c r="C9" s="6"/>
      <c r="D9" s="8"/>
      <c r="E9" s="6"/>
      <c r="F9" s="9">
        <f t="shared" si="0"/>
        <v>0</v>
      </c>
      <c r="G9" s="9"/>
      <c r="H9" s="10">
        <f t="shared" si="1"/>
        <v>0</v>
      </c>
      <c r="I9" s="8"/>
    </row>
    <row r="10" spans="1:9" ht="19.95" customHeight="1" x14ac:dyDescent="0.25">
      <c r="A10" s="5" t="s">
        <v>57</v>
      </c>
      <c r="B10" s="6" t="s">
        <v>44</v>
      </c>
      <c r="C10" s="6"/>
      <c r="D10" s="8"/>
      <c r="E10" s="6"/>
      <c r="F10" s="9">
        <f t="shared" si="0"/>
        <v>0</v>
      </c>
      <c r="G10" s="13"/>
      <c r="H10" s="14">
        <f t="shared" si="1"/>
        <v>0</v>
      </c>
      <c r="I10" s="11"/>
    </row>
    <row r="11" spans="1:9" ht="18" x14ac:dyDescent="0.25">
      <c r="A11" s="5" t="s">
        <v>58</v>
      </c>
      <c r="B11" s="6" t="s">
        <v>46</v>
      </c>
      <c r="C11" s="6"/>
      <c r="D11" s="6"/>
      <c r="E11" s="6"/>
      <c r="F11" s="9">
        <f t="shared" si="0"/>
        <v>0</v>
      </c>
      <c r="G11" s="9"/>
      <c r="H11" s="10">
        <f t="shared" si="1"/>
        <v>0</v>
      </c>
      <c r="I11" s="15"/>
    </row>
    <row r="12" spans="1:9" ht="19.95" customHeight="1" x14ac:dyDescent="0.25">
      <c r="A12" s="5" t="s">
        <v>59</v>
      </c>
      <c r="B12" s="6" t="s">
        <v>48</v>
      </c>
      <c r="C12" s="6"/>
      <c r="D12" s="9"/>
      <c r="E12" s="6"/>
      <c r="F12" s="9">
        <f t="shared" si="0"/>
        <v>0</v>
      </c>
      <c r="G12" s="9"/>
      <c r="H12" s="10">
        <f t="shared" si="1"/>
        <v>0</v>
      </c>
      <c r="I12" s="11"/>
    </row>
    <row r="13" spans="1:9" ht="19.95" customHeight="1" x14ac:dyDescent="0.25">
      <c r="A13" s="5" t="s">
        <v>60</v>
      </c>
      <c r="B13" s="6" t="s">
        <v>50</v>
      </c>
      <c r="C13" s="6"/>
      <c r="D13" s="8"/>
      <c r="E13" s="6"/>
      <c r="F13" s="9">
        <f t="shared" ref="F13:F26" si="2">C13+D13+E13</f>
        <v>0</v>
      </c>
      <c r="G13" s="9"/>
      <c r="H13" s="10">
        <f t="shared" si="1"/>
        <v>0</v>
      </c>
      <c r="I13" s="8"/>
    </row>
    <row r="14" spans="1:9" ht="19.95" customHeight="1" x14ac:dyDescent="0.25">
      <c r="A14" s="5" t="s">
        <v>61</v>
      </c>
      <c r="B14" s="6" t="s">
        <v>52</v>
      </c>
      <c r="C14" s="6"/>
      <c r="D14" s="8"/>
      <c r="E14" s="6"/>
      <c r="F14" s="9">
        <f t="shared" si="2"/>
        <v>0</v>
      </c>
      <c r="G14" s="9"/>
      <c r="H14" s="10">
        <f t="shared" si="1"/>
        <v>0</v>
      </c>
      <c r="I14" s="11"/>
    </row>
    <row r="15" spans="1:9" ht="19.95" customHeight="1" x14ac:dyDescent="0.25">
      <c r="A15" s="5" t="s">
        <v>62</v>
      </c>
      <c r="B15" s="6" t="s">
        <v>54</v>
      </c>
      <c r="C15" s="6"/>
      <c r="D15" s="8"/>
      <c r="E15" s="6"/>
      <c r="F15" s="9">
        <f t="shared" si="2"/>
        <v>0</v>
      </c>
      <c r="G15" s="9"/>
      <c r="H15" s="10">
        <f t="shared" si="1"/>
        <v>0</v>
      </c>
      <c r="I15" s="16"/>
    </row>
    <row r="16" spans="1:9" ht="19.95" customHeight="1" x14ac:dyDescent="0.25">
      <c r="A16" s="5" t="s">
        <v>63</v>
      </c>
      <c r="B16" s="6" t="s">
        <v>56</v>
      </c>
      <c r="C16" s="6"/>
      <c r="D16" s="8"/>
      <c r="E16" s="6"/>
      <c r="F16" s="9">
        <f t="shared" si="2"/>
        <v>0</v>
      </c>
      <c r="G16" s="9"/>
      <c r="H16" s="10">
        <f t="shared" si="1"/>
        <v>0</v>
      </c>
      <c r="I16" s="11"/>
    </row>
    <row r="17" spans="1:9" ht="19.95" customHeight="1" x14ac:dyDescent="0.25">
      <c r="A17" s="5" t="s">
        <v>64</v>
      </c>
      <c r="B17" s="6" t="s">
        <v>44</v>
      </c>
      <c r="C17" s="6"/>
      <c r="D17" s="8"/>
      <c r="E17" s="6"/>
      <c r="F17" s="9">
        <f t="shared" si="2"/>
        <v>0</v>
      </c>
      <c r="G17" s="9"/>
      <c r="H17" s="10">
        <f t="shared" si="1"/>
        <v>0</v>
      </c>
      <c r="I17" s="11"/>
    </row>
    <row r="18" spans="1:9" ht="19.95" customHeight="1" x14ac:dyDescent="0.25">
      <c r="A18" s="5" t="s">
        <v>65</v>
      </c>
      <c r="B18" s="6" t="s">
        <v>46</v>
      </c>
      <c r="C18" s="6"/>
      <c r="D18" s="8"/>
      <c r="E18" s="6"/>
      <c r="F18" s="9">
        <f t="shared" si="2"/>
        <v>0</v>
      </c>
      <c r="G18" s="9"/>
      <c r="H18" s="10">
        <f t="shared" si="1"/>
        <v>0</v>
      </c>
      <c r="I18" s="8"/>
    </row>
    <row r="19" spans="1:9" ht="19.95" customHeight="1" x14ac:dyDescent="0.25">
      <c r="A19" s="5" t="s">
        <v>66</v>
      </c>
      <c r="B19" s="6" t="s">
        <v>48</v>
      </c>
      <c r="C19" s="6"/>
      <c r="D19" s="8"/>
      <c r="E19" s="6"/>
      <c r="F19" s="9">
        <f t="shared" si="2"/>
        <v>0</v>
      </c>
      <c r="G19" s="9"/>
      <c r="H19" s="10">
        <f t="shared" si="1"/>
        <v>0</v>
      </c>
      <c r="I19" s="8"/>
    </row>
    <row r="20" spans="1:9" ht="19.95" customHeight="1" x14ac:dyDescent="0.25">
      <c r="A20" s="5" t="s">
        <v>67</v>
      </c>
      <c r="B20" s="6" t="s">
        <v>50</v>
      </c>
      <c r="C20" s="6"/>
      <c r="D20" s="8"/>
      <c r="E20" s="6"/>
      <c r="F20" s="9">
        <f t="shared" si="2"/>
        <v>0</v>
      </c>
      <c r="G20" s="9"/>
      <c r="H20" s="10">
        <f t="shared" ref="H20:H26" si="3">G20-F20</f>
        <v>0</v>
      </c>
      <c r="I20" s="8"/>
    </row>
    <row r="21" spans="1:9" ht="19.95" customHeight="1" x14ac:dyDescent="0.25">
      <c r="A21" s="5" t="s">
        <v>68</v>
      </c>
      <c r="B21" s="6" t="s">
        <v>52</v>
      </c>
      <c r="C21" s="6"/>
      <c r="D21" s="8"/>
      <c r="E21" s="6"/>
      <c r="F21" s="9">
        <f t="shared" si="2"/>
        <v>0</v>
      </c>
      <c r="G21" s="9"/>
      <c r="H21" s="10">
        <f t="shared" si="3"/>
        <v>0</v>
      </c>
      <c r="I21" s="11"/>
    </row>
    <row r="22" spans="1:9" ht="19.95" customHeight="1" x14ac:dyDescent="0.25">
      <c r="A22" s="5" t="s">
        <v>69</v>
      </c>
      <c r="B22" s="6" t="s">
        <v>54</v>
      </c>
      <c r="C22" s="6"/>
      <c r="D22" s="8"/>
      <c r="E22" s="6"/>
      <c r="F22" s="9">
        <f t="shared" si="2"/>
        <v>0</v>
      </c>
      <c r="G22" s="9"/>
      <c r="H22" s="10">
        <f t="shared" si="3"/>
        <v>0</v>
      </c>
      <c r="I22" s="8"/>
    </row>
    <row r="23" spans="1:9" ht="19.95" customHeight="1" x14ac:dyDescent="0.25">
      <c r="A23" s="5" t="s">
        <v>70</v>
      </c>
      <c r="B23" s="6" t="s">
        <v>56</v>
      </c>
      <c r="C23" s="6"/>
      <c r="D23" s="8"/>
      <c r="E23" s="6"/>
      <c r="F23" s="9">
        <f t="shared" si="2"/>
        <v>0</v>
      </c>
      <c r="G23" s="9"/>
      <c r="H23" s="10">
        <f t="shared" si="3"/>
        <v>0</v>
      </c>
      <c r="I23" s="8"/>
    </row>
    <row r="24" spans="1:9" ht="19.95" customHeight="1" x14ac:dyDescent="0.25">
      <c r="A24" s="5" t="s">
        <v>71</v>
      </c>
      <c r="B24" s="6" t="s">
        <v>44</v>
      </c>
      <c r="C24" s="6"/>
      <c r="D24" s="8"/>
      <c r="E24" s="6"/>
      <c r="F24" s="9">
        <f t="shared" si="2"/>
        <v>0</v>
      </c>
      <c r="G24" s="9"/>
      <c r="H24" s="10">
        <f t="shared" si="3"/>
        <v>0</v>
      </c>
      <c r="I24" s="11"/>
    </row>
    <row r="25" spans="1:9" ht="19.95" customHeight="1" x14ac:dyDescent="0.25">
      <c r="A25" s="5" t="s">
        <v>72</v>
      </c>
      <c r="B25" s="6" t="s">
        <v>46</v>
      </c>
      <c r="C25" s="6"/>
      <c r="D25" s="8"/>
      <c r="E25" s="6"/>
      <c r="F25" s="9">
        <f t="shared" si="2"/>
        <v>0</v>
      </c>
      <c r="G25" s="9"/>
      <c r="H25" s="10">
        <f t="shared" si="3"/>
        <v>0</v>
      </c>
      <c r="I25" s="8"/>
    </row>
    <row r="26" spans="1:9" ht="19.95" customHeight="1" x14ac:dyDescent="0.25">
      <c r="A26" s="5" t="s">
        <v>73</v>
      </c>
      <c r="B26" s="6" t="s">
        <v>48</v>
      </c>
      <c r="C26" s="6"/>
      <c r="D26" s="8"/>
      <c r="E26" s="6"/>
      <c r="F26" s="9">
        <f t="shared" si="2"/>
        <v>0</v>
      </c>
      <c r="G26" s="9"/>
      <c r="H26" s="10">
        <f t="shared" si="3"/>
        <v>0</v>
      </c>
      <c r="I26" s="8"/>
    </row>
    <row r="27" spans="1:9" ht="19.95" customHeight="1" x14ac:dyDescent="0.25">
      <c r="A27" s="5" t="s">
        <v>74</v>
      </c>
      <c r="B27" s="6" t="s">
        <v>50</v>
      </c>
      <c r="C27" s="6"/>
      <c r="D27" s="8"/>
      <c r="E27" s="6"/>
      <c r="F27" s="9">
        <f t="shared" ref="F27:F33" si="4">C27+D27+E27</f>
        <v>0</v>
      </c>
      <c r="G27" s="9"/>
      <c r="H27" s="10">
        <f t="shared" ref="H27:H33" si="5">G27-F27</f>
        <v>0</v>
      </c>
      <c r="I27" s="8"/>
    </row>
    <row r="28" spans="1:9" ht="19.95" customHeight="1" x14ac:dyDescent="0.25">
      <c r="A28" s="5" t="s">
        <v>75</v>
      </c>
      <c r="B28" s="6" t="s">
        <v>52</v>
      </c>
      <c r="C28" s="6"/>
      <c r="D28" s="8"/>
      <c r="E28" s="6"/>
      <c r="F28" s="9">
        <f t="shared" si="4"/>
        <v>0</v>
      </c>
      <c r="G28" s="9"/>
      <c r="H28" s="10">
        <f t="shared" si="5"/>
        <v>0</v>
      </c>
      <c r="I28" s="11"/>
    </row>
    <row r="29" spans="1:9" ht="19.95" customHeight="1" x14ac:dyDescent="0.25">
      <c r="A29" s="5" t="s">
        <v>76</v>
      </c>
      <c r="B29" s="6" t="s">
        <v>54</v>
      </c>
      <c r="C29" s="6"/>
      <c r="D29" s="8"/>
      <c r="E29" s="6"/>
      <c r="F29" s="9">
        <f t="shared" si="4"/>
        <v>0</v>
      </c>
      <c r="G29" s="9"/>
      <c r="H29" s="10">
        <f t="shared" si="5"/>
        <v>0</v>
      </c>
      <c r="I29" s="8"/>
    </row>
    <row r="30" spans="1:9" ht="21" customHeight="1" x14ac:dyDescent="0.25">
      <c r="A30" s="5" t="s">
        <v>77</v>
      </c>
      <c r="B30" s="6" t="s">
        <v>56</v>
      </c>
      <c r="C30" s="6"/>
      <c r="D30" s="8"/>
      <c r="E30" s="6"/>
      <c r="F30" s="9">
        <f t="shared" si="4"/>
        <v>0</v>
      </c>
      <c r="G30" s="9"/>
      <c r="H30" s="10">
        <f t="shared" si="5"/>
        <v>0</v>
      </c>
      <c r="I30" s="11"/>
    </row>
    <row r="31" spans="1:9" ht="21" customHeight="1" x14ac:dyDescent="0.25">
      <c r="A31" s="5" t="s">
        <v>78</v>
      </c>
      <c r="B31" s="6" t="s">
        <v>44</v>
      </c>
      <c r="C31" s="6"/>
      <c r="D31" s="8"/>
      <c r="E31" s="6"/>
      <c r="F31" s="9">
        <f t="shared" si="4"/>
        <v>0</v>
      </c>
      <c r="G31" s="9"/>
      <c r="H31" s="10">
        <f t="shared" si="5"/>
        <v>0</v>
      </c>
      <c r="I31" s="11"/>
    </row>
    <row r="32" spans="1:9" ht="21" customHeight="1" x14ac:dyDescent="0.25">
      <c r="A32" s="5" t="s">
        <v>79</v>
      </c>
      <c r="B32" s="6" t="s">
        <v>46</v>
      </c>
      <c r="C32" s="6"/>
      <c r="D32" s="8"/>
      <c r="E32" s="6"/>
      <c r="F32" s="9">
        <f t="shared" si="4"/>
        <v>0</v>
      </c>
      <c r="G32" s="9"/>
      <c r="H32" s="10">
        <f t="shared" si="5"/>
        <v>0</v>
      </c>
      <c r="I32" s="11"/>
    </row>
    <row r="33" spans="1:9" ht="21" customHeight="1" x14ac:dyDescent="0.25">
      <c r="A33" s="5"/>
      <c r="B33" s="6"/>
      <c r="C33" s="6"/>
      <c r="D33" s="8"/>
      <c r="E33" s="7"/>
      <c r="F33" s="9">
        <f t="shared" si="4"/>
        <v>0</v>
      </c>
      <c r="G33" s="9"/>
      <c r="H33" s="10">
        <f t="shared" si="5"/>
        <v>0</v>
      </c>
      <c r="I33" s="11"/>
    </row>
    <row r="34" spans="1:9" ht="19.95" customHeight="1" x14ac:dyDescent="0.25">
      <c r="A34" s="26" t="s">
        <v>86</v>
      </c>
      <c r="B34" s="26"/>
      <c r="C34" s="9"/>
      <c r="D34" s="9">
        <f>SUM(D3:D33)</f>
        <v>0</v>
      </c>
      <c r="E34" s="9">
        <f>SUM(E3:E33)</f>
        <v>2033.72</v>
      </c>
      <c r="F34" s="9">
        <f>SUM(F3:F33)</f>
        <v>2033.72</v>
      </c>
      <c r="G34" s="9">
        <f>SUM(G3:G33)</f>
        <v>2034.2</v>
      </c>
      <c r="H34" s="9">
        <f>SUM(H3:H33)</f>
        <v>0.47999999999996101</v>
      </c>
      <c r="I34" s="8"/>
    </row>
  </sheetData>
  <mergeCells count="3">
    <mergeCell ref="A1:I1"/>
    <mergeCell ref="A2:B2"/>
    <mergeCell ref="A34:B34"/>
  </mergeCells>
  <phoneticPr fontId="23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2026年6月东方宝泰店营业额明细统计表</vt:lpstr>
      <vt:lpstr>2026年6月东方宝泰店营业现金登记表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伟城 陈</cp:lastModifiedBy>
  <dcterms:created xsi:type="dcterms:W3CDTF">2023-05-12T11:15:00Z</dcterms:created>
  <dcterms:modified xsi:type="dcterms:W3CDTF">2026-06-12T09:06:46Z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2052-12.1.0.26381</vt:lpwstr>
  </property>
  <property fmtid="{D5CDD505-2E9C-101B-9397-08002B2CF9AE}" pid="3" name="ICV">
    <vt:lpwstr>158A9F13C1F0453F9C5741FD2019CA4B_12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