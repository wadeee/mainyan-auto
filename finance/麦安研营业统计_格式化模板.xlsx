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Wadec\Documents\projects\mainyan-auto\finance\"/>
    </mc:Choice>
  </mc:AlternateContent>
  <xr:revisionPtr revIDLastSave="0" documentId="13_ncr:1_{C5B1448C-1485-4627-B62D-69761D8822C5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年6月东方宝泰店营业额明细统计表" sheetId="1" r:id="rId1"/>
    <sheet name="2026年6月东方宝泰店营业现金登记表" sheetId="2" r:id="rId2"/>
  </sheets>
  <calcPr calcId="191029"/>
</workbook>
</file>

<file path=xl/calcChain.xml><?xml version="1.0" encoding="utf-8"?>
<calcChain xmlns="http://schemas.openxmlformats.org/spreadsheetml/2006/main">
  <c r="BH6" i="1" l="1"/>
  <c r="BH7" i="1"/>
  <c r="BH8" i="1"/>
  <c r="BH9" i="1"/>
  <c r="BH10" i="1"/>
  <c r="BH11" i="1"/>
  <c r="BH12" i="1"/>
  <c r="BH13" i="1"/>
  <c r="BH14" i="1"/>
  <c r="BH15" i="1"/>
  <c r="BH16" i="1"/>
  <c r="BH17" i="1"/>
  <c r="BH18" i="1"/>
  <c r="BH19" i="1"/>
  <c r="BH20" i="1"/>
  <c r="BH21" i="1"/>
  <c r="BH22" i="1"/>
  <c r="BH23" i="1"/>
  <c r="BH24" i="1"/>
  <c r="BH25" i="1"/>
  <c r="BH26" i="1"/>
  <c r="BH27" i="1"/>
  <c r="BH28" i="1"/>
  <c r="BH29" i="1"/>
  <c r="BH30" i="1"/>
  <c r="BH31" i="1"/>
  <c r="BH32" i="1"/>
  <c r="BH33" i="1"/>
  <c r="BH34" i="1"/>
  <c r="BH3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5" i="1"/>
  <c r="BH5" i="1"/>
  <c r="G36" i="1"/>
  <c r="AE36" i="1"/>
  <c r="BC36" i="1"/>
  <c r="BD36" i="1"/>
  <c r="BE36" i="1"/>
  <c r="BF36" i="1"/>
  <c r="BG36" i="1"/>
  <c r="BF6" i="1"/>
  <c r="BF7" i="1"/>
  <c r="BF8" i="1"/>
  <c r="BF9" i="1"/>
  <c r="BF10" i="1"/>
  <c r="BF11" i="1"/>
  <c r="BF12" i="1"/>
  <c r="BF13" i="1"/>
  <c r="BF14" i="1"/>
  <c r="BF15" i="1"/>
  <c r="BF16" i="1"/>
  <c r="BF17" i="1"/>
  <c r="BF18" i="1"/>
  <c r="BF19" i="1"/>
  <c r="BF20" i="1"/>
  <c r="BF21" i="1"/>
  <c r="BF22" i="1"/>
  <c r="BF23" i="1"/>
  <c r="BF24" i="1"/>
  <c r="BF25" i="1"/>
  <c r="BF26" i="1"/>
  <c r="BF27" i="1"/>
  <c r="BF28" i="1"/>
  <c r="BF29" i="1"/>
  <c r="BF30" i="1"/>
  <c r="BF31" i="1"/>
  <c r="BF32" i="1"/>
  <c r="BF33" i="1"/>
  <c r="BF34" i="1"/>
  <c r="BF35" i="1"/>
  <c r="BF5" i="1"/>
  <c r="AK6" i="1" l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5" i="1"/>
  <c r="K10" i="1"/>
  <c r="H34" i="2"/>
  <c r="G34" i="2"/>
  <c r="F34" i="2"/>
  <c r="E34" i="2"/>
  <c r="D34" i="2"/>
  <c r="H33" i="2"/>
  <c r="F33" i="2"/>
  <c r="H32" i="2"/>
  <c r="F32" i="2"/>
  <c r="H31" i="2"/>
  <c r="F31" i="2"/>
  <c r="H30" i="2"/>
  <c r="F30" i="2"/>
  <c r="H29" i="2"/>
  <c r="F29" i="2"/>
  <c r="H28" i="2"/>
  <c r="F28" i="2"/>
  <c r="H27" i="2"/>
  <c r="F27" i="2"/>
  <c r="H26" i="2"/>
  <c r="F26" i="2"/>
  <c r="H25" i="2"/>
  <c r="F25" i="2"/>
  <c r="H24" i="2"/>
  <c r="F24" i="2"/>
  <c r="H23" i="2"/>
  <c r="F23" i="2"/>
  <c r="H22" i="2"/>
  <c r="F22" i="2"/>
  <c r="H21" i="2"/>
  <c r="F21" i="2"/>
  <c r="H20" i="2"/>
  <c r="F20" i="2"/>
  <c r="H19" i="2"/>
  <c r="F19" i="2"/>
  <c r="H18" i="2"/>
  <c r="F18" i="2"/>
  <c r="H17" i="2"/>
  <c r="F17" i="2"/>
  <c r="H16" i="2"/>
  <c r="F16" i="2"/>
  <c r="H15" i="2"/>
  <c r="F15" i="2"/>
  <c r="H14" i="2"/>
  <c r="F14" i="2"/>
  <c r="H13" i="2"/>
  <c r="F13" i="2"/>
  <c r="H12" i="2"/>
  <c r="F12" i="2"/>
  <c r="H11" i="2"/>
  <c r="F11" i="2"/>
  <c r="H10" i="2"/>
  <c r="F10" i="2"/>
  <c r="H9" i="2"/>
  <c r="F9" i="2"/>
  <c r="H8" i="2"/>
  <c r="F8" i="2"/>
  <c r="H7" i="2"/>
  <c r="F7" i="2"/>
  <c r="H6" i="2"/>
  <c r="F6" i="2"/>
  <c r="H5" i="2"/>
  <c r="F5" i="2"/>
  <c r="H4" i="2"/>
  <c r="F4" i="2"/>
  <c r="H3" i="2"/>
  <c r="F3" i="2"/>
  <c r="BB36" i="1"/>
  <c r="AZ36" i="1"/>
  <c r="AY36" i="1"/>
  <c r="AX36" i="1"/>
  <c r="AW36" i="1"/>
  <c r="AV36" i="1"/>
  <c r="AT36" i="1"/>
  <c r="AS36" i="1"/>
  <c r="AR36" i="1"/>
  <c r="AP36" i="1"/>
  <c r="AO36" i="1"/>
  <c r="AN36" i="1"/>
  <c r="AM36" i="1"/>
  <c r="AL36" i="1"/>
  <c r="AJ36" i="1"/>
  <c r="AI36" i="1"/>
  <c r="AH36" i="1"/>
  <c r="AG36" i="1"/>
  <c r="AF36" i="1"/>
  <c r="AD36" i="1"/>
  <c r="AC36" i="1"/>
  <c r="AB36" i="1"/>
  <c r="AA36" i="1"/>
  <c r="Z36" i="1"/>
  <c r="Y36" i="1"/>
  <c r="X36" i="1"/>
  <c r="W36" i="1"/>
  <c r="V36" i="1"/>
  <c r="U36" i="1"/>
  <c r="S36" i="1"/>
  <c r="Q36" i="1"/>
  <c r="P36" i="1"/>
  <c r="O36" i="1"/>
  <c r="N36" i="1"/>
  <c r="L36" i="1"/>
  <c r="J36" i="1"/>
  <c r="I36" i="1"/>
  <c r="H36" i="1"/>
  <c r="F36" i="1"/>
  <c r="E36" i="1"/>
  <c r="A36" i="1"/>
  <c r="BA35" i="1"/>
  <c r="AU35" i="1"/>
  <c r="AQ35" i="1"/>
  <c r="R35" i="1"/>
  <c r="T35" i="1" s="1"/>
  <c r="K35" i="1"/>
  <c r="M35" i="1" s="1"/>
  <c r="D35" i="1"/>
  <c r="A35" i="1"/>
  <c r="BA34" i="1"/>
  <c r="AU34" i="1"/>
  <c r="AQ34" i="1"/>
  <c r="R34" i="1"/>
  <c r="T34" i="1" s="1"/>
  <c r="K34" i="1"/>
  <c r="D34" i="1"/>
  <c r="A34" i="1"/>
  <c r="BA33" i="1"/>
  <c r="AU33" i="1"/>
  <c r="AQ33" i="1"/>
  <c r="R33" i="1"/>
  <c r="T33" i="1" s="1"/>
  <c r="K33" i="1"/>
  <c r="M33" i="1" s="1"/>
  <c r="D33" i="1"/>
  <c r="A33" i="1"/>
  <c r="BA32" i="1"/>
  <c r="AU32" i="1"/>
  <c r="AQ32" i="1"/>
  <c r="R32" i="1"/>
  <c r="K32" i="1"/>
  <c r="M32" i="1" s="1"/>
  <c r="D32" i="1"/>
  <c r="A32" i="1"/>
  <c r="BA31" i="1"/>
  <c r="AU31" i="1"/>
  <c r="AQ31" i="1"/>
  <c r="R31" i="1"/>
  <c r="T31" i="1" s="1"/>
  <c r="K31" i="1"/>
  <c r="M31" i="1" s="1"/>
  <c r="D31" i="1"/>
  <c r="A31" i="1"/>
  <c r="BA30" i="1"/>
  <c r="AU30" i="1"/>
  <c r="AQ30" i="1"/>
  <c r="R30" i="1"/>
  <c r="T30" i="1" s="1"/>
  <c r="K30" i="1"/>
  <c r="D30" i="1"/>
  <c r="A30" i="1"/>
  <c r="BA29" i="1"/>
  <c r="AU29" i="1"/>
  <c r="AQ29" i="1"/>
  <c r="R29" i="1"/>
  <c r="T29" i="1" s="1"/>
  <c r="K29" i="1"/>
  <c r="M29" i="1" s="1"/>
  <c r="D29" i="1"/>
  <c r="A29" i="1"/>
  <c r="BA28" i="1"/>
  <c r="AU28" i="1"/>
  <c r="AQ28" i="1"/>
  <c r="R28" i="1"/>
  <c r="T28" i="1" s="1"/>
  <c r="K28" i="1"/>
  <c r="M28" i="1" s="1"/>
  <c r="D28" i="1"/>
  <c r="A28" i="1"/>
  <c r="BA27" i="1"/>
  <c r="AU27" i="1"/>
  <c r="AQ27" i="1"/>
  <c r="R27" i="1"/>
  <c r="T27" i="1" s="1"/>
  <c r="K27" i="1"/>
  <c r="M27" i="1" s="1"/>
  <c r="D27" i="1"/>
  <c r="A27" i="1"/>
  <c r="BA26" i="1"/>
  <c r="AU26" i="1"/>
  <c r="AQ26" i="1"/>
  <c r="R26" i="1"/>
  <c r="T26" i="1" s="1"/>
  <c r="K26" i="1"/>
  <c r="D26" i="1"/>
  <c r="A26" i="1"/>
  <c r="BA25" i="1"/>
  <c r="AU25" i="1"/>
  <c r="AQ25" i="1"/>
  <c r="R25" i="1"/>
  <c r="T25" i="1" s="1"/>
  <c r="K25" i="1"/>
  <c r="M25" i="1" s="1"/>
  <c r="D25" i="1"/>
  <c r="A25" i="1"/>
  <c r="BA24" i="1"/>
  <c r="AU24" i="1"/>
  <c r="AQ24" i="1"/>
  <c r="R24" i="1"/>
  <c r="K24" i="1"/>
  <c r="M24" i="1" s="1"/>
  <c r="D24" i="1"/>
  <c r="A24" i="1"/>
  <c r="BA23" i="1"/>
  <c r="AU23" i="1"/>
  <c r="AQ23" i="1"/>
  <c r="R23" i="1"/>
  <c r="T23" i="1" s="1"/>
  <c r="K23" i="1"/>
  <c r="D23" i="1"/>
  <c r="A23" i="1"/>
  <c r="BA22" i="1"/>
  <c r="AU22" i="1"/>
  <c r="AQ22" i="1"/>
  <c r="R22" i="1"/>
  <c r="T22" i="1" s="1"/>
  <c r="K22" i="1"/>
  <c r="D22" i="1"/>
  <c r="A22" i="1"/>
  <c r="BA21" i="1"/>
  <c r="AU21" i="1"/>
  <c r="AQ21" i="1"/>
  <c r="R21" i="1"/>
  <c r="T21" i="1" s="1"/>
  <c r="K21" i="1"/>
  <c r="M21" i="1" s="1"/>
  <c r="D21" i="1"/>
  <c r="A21" i="1"/>
  <c r="BA20" i="1"/>
  <c r="AU20" i="1"/>
  <c r="AQ20" i="1"/>
  <c r="R20" i="1"/>
  <c r="K20" i="1"/>
  <c r="M20" i="1" s="1"/>
  <c r="D20" i="1"/>
  <c r="A20" i="1"/>
  <c r="BA19" i="1"/>
  <c r="AU19" i="1"/>
  <c r="AQ19" i="1"/>
  <c r="R19" i="1"/>
  <c r="T19" i="1" s="1"/>
  <c r="K19" i="1"/>
  <c r="M19" i="1" s="1"/>
  <c r="D19" i="1"/>
  <c r="A19" i="1"/>
  <c r="BA18" i="1"/>
  <c r="AU18" i="1"/>
  <c r="AQ18" i="1"/>
  <c r="R18" i="1"/>
  <c r="T18" i="1" s="1"/>
  <c r="K18" i="1"/>
  <c r="D18" i="1"/>
  <c r="A18" i="1"/>
  <c r="BA17" i="1"/>
  <c r="AU17" i="1"/>
  <c r="AQ17" i="1"/>
  <c r="R17" i="1"/>
  <c r="T17" i="1" s="1"/>
  <c r="K17" i="1"/>
  <c r="M17" i="1" s="1"/>
  <c r="D17" i="1"/>
  <c r="A17" i="1"/>
  <c r="BA16" i="1"/>
  <c r="AU16" i="1"/>
  <c r="AQ16" i="1"/>
  <c r="R16" i="1"/>
  <c r="K16" i="1"/>
  <c r="M16" i="1" s="1"/>
  <c r="D16" i="1"/>
  <c r="A16" i="1"/>
  <c r="BA15" i="1"/>
  <c r="AU15" i="1"/>
  <c r="AQ15" i="1"/>
  <c r="R15" i="1"/>
  <c r="T15" i="1" s="1"/>
  <c r="K15" i="1"/>
  <c r="M15" i="1" s="1"/>
  <c r="D15" i="1"/>
  <c r="A15" i="1"/>
  <c r="BA14" i="1"/>
  <c r="AU14" i="1"/>
  <c r="AQ14" i="1"/>
  <c r="R14" i="1"/>
  <c r="T14" i="1" s="1"/>
  <c r="K14" i="1"/>
  <c r="D14" i="1"/>
  <c r="A14" i="1"/>
  <c r="BA13" i="1"/>
  <c r="AU13" i="1"/>
  <c r="AQ13" i="1"/>
  <c r="R13" i="1"/>
  <c r="T13" i="1" s="1"/>
  <c r="K13" i="1"/>
  <c r="M13" i="1" s="1"/>
  <c r="D13" i="1"/>
  <c r="A13" i="1"/>
  <c r="BA12" i="1"/>
  <c r="AU12" i="1"/>
  <c r="AQ12" i="1"/>
  <c r="R12" i="1"/>
  <c r="T12" i="1" s="1"/>
  <c r="K12" i="1"/>
  <c r="M12" i="1" s="1"/>
  <c r="D12" i="1"/>
  <c r="A12" i="1"/>
  <c r="BA11" i="1"/>
  <c r="AU11" i="1"/>
  <c r="AQ11" i="1"/>
  <c r="R11" i="1"/>
  <c r="T11" i="1" s="1"/>
  <c r="K11" i="1"/>
  <c r="M11" i="1" s="1"/>
  <c r="D11" i="1"/>
  <c r="A11" i="1"/>
  <c r="BA10" i="1"/>
  <c r="AU10" i="1"/>
  <c r="AQ10" i="1"/>
  <c r="R10" i="1"/>
  <c r="T10" i="1" s="1"/>
  <c r="D10" i="1"/>
  <c r="A10" i="1"/>
  <c r="BA9" i="1"/>
  <c r="AU9" i="1"/>
  <c r="AQ9" i="1"/>
  <c r="R9" i="1"/>
  <c r="T9" i="1" s="1"/>
  <c r="K9" i="1"/>
  <c r="M9" i="1" s="1"/>
  <c r="D9" i="1"/>
  <c r="A9" i="1"/>
  <c r="BA8" i="1"/>
  <c r="AU8" i="1"/>
  <c r="AQ8" i="1"/>
  <c r="R8" i="1"/>
  <c r="K8" i="1"/>
  <c r="M8" i="1" s="1"/>
  <c r="D8" i="1"/>
  <c r="A8" i="1"/>
  <c r="BA7" i="1"/>
  <c r="AU7" i="1"/>
  <c r="AQ7" i="1"/>
  <c r="R7" i="1"/>
  <c r="T7" i="1" s="1"/>
  <c r="K7" i="1"/>
  <c r="D7" i="1"/>
  <c r="A7" i="1"/>
  <c r="BA6" i="1"/>
  <c r="AU6" i="1"/>
  <c r="AQ6" i="1"/>
  <c r="R6" i="1"/>
  <c r="K6" i="1"/>
  <c r="D6" i="1"/>
  <c r="A6" i="1"/>
  <c r="BA5" i="1"/>
  <c r="AU5" i="1"/>
  <c r="AQ5" i="1"/>
  <c r="R5" i="1"/>
  <c r="T5" i="1" s="1"/>
  <c r="K5" i="1"/>
  <c r="M5" i="1" s="1"/>
  <c r="D5" i="1"/>
  <c r="A5" i="1"/>
  <c r="AQ36" i="1" l="1"/>
  <c r="T20" i="1"/>
  <c r="R36" i="1"/>
  <c r="AK36" i="1"/>
  <c r="T16" i="1"/>
  <c r="T32" i="1"/>
  <c r="BA36" i="1"/>
  <c r="T24" i="1"/>
  <c r="K36" i="1"/>
  <c r="M23" i="1"/>
  <c r="AU36" i="1"/>
  <c r="T8" i="1"/>
  <c r="D36" i="1"/>
  <c r="M30" i="1"/>
  <c r="M34" i="1"/>
  <c r="M22" i="1"/>
  <c r="M7" i="1"/>
  <c r="T6" i="1"/>
  <c r="M6" i="1"/>
  <c r="M10" i="1"/>
  <c r="M14" i="1"/>
  <c r="M18" i="1"/>
  <c r="M26" i="1"/>
  <c r="T36" i="1" l="1"/>
  <c r="BI36" i="1"/>
  <c r="M36" i="1"/>
  <c r="BH36" i="1"/>
</calcChain>
</file>

<file path=xl/sharedStrings.xml><?xml version="1.0" encoding="utf-8"?>
<sst xmlns="http://schemas.openxmlformats.org/spreadsheetml/2006/main" count="204" uniqueCount="114">
  <si>
    <t>序号</t>
  </si>
  <si>
    <t>日期</t>
  </si>
  <si>
    <t>现金</t>
  </si>
  <si>
    <t>现金充值</t>
  </si>
  <si>
    <t>现金合计</t>
  </si>
  <si>
    <t>银豹收银系统后台收入</t>
  </si>
  <si>
    <t>总营业实收</t>
  </si>
  <si>
    <t>总销售额</t>
  </si>
  <si>
    <t>备注</t>
  </si>
  <si>
    <t>银豹付（支付宝、微信）</t>
  </si>
  <si>
    <t>银豹付微信</t>
  </si>
  <si>
    <t>充值金额</t>
  </si>
  <si>
    <t>储值卡充值赠送金额</t>
  </si>
  <si>
    <t>会员卡本金消费金额</t>
  </si>
  <si>
    <t>会员卡赠送消费金额</t>
  </si>
  <si>
    <t>预付卡支付</t>
  </si>
  <si>
    <t>代金券</t>
  </si>
  <si>
    <t>支付补单</t>
  </si>
  <si>
    <t>美团外卖后台</t>
  </si>
  <si>
    <t>美团优惠系统后台</t>
  </si>
  <si>
    <t>饿了么外卖后台</t>
  </si>
  <si>
    <t>招商优惠券（招商后台）</t>
  </si>
  <si>
    <t>银豹付</t>
  </si>
  <si>
    <t>退款金额</t>
  </si>
  <si>
    <t>银豹付合计金额</t>
  </si>
  <si>
    <t>微信小程序充值</t>
  </si>
  <si>
    <t>微信金额</t>
  </si>
  <si>
    <t>合计微信金额</t>
  </si>
  <si>
    <t>美团外卖金额</t>
  </si>
  <si>
    <t>打包费</t>
  </si>
  <si>
    <t>商家对顾客的活动补贴（美团后台）</t>
  </si>
  <si>
    <t>佣金</t>
  </si>
  <si>
    <t>配送服务费</t>
  </si>
  <si>
    <t>美团金额</t>
  </si>
  <si>
    <t>促销费</t>
  </si>
  <si>
    <t>平台服务费</t>
  </si>
  <si>
    <t>其他费用（美团食品保险）</t>
  </si>
  <si>
    <t>饿了么金额</t>
  </si>
  <si>
    <t>其他类（饿了么食品保险费）</t>
  </si>
  <si>
    <t>应收金额</t>
  </si>
  <si>
    <t>实收金额
（入账工行尾号3984）</t>
  </si>
  <si>
    <t>抖音金额</t>
  </si>
  <si>
    <t>2026.6.1</t>
  </si>
  <si>
    <t>星期一</t>
  </si>
  <si>
    <t>2026.6.2</t>
  </si>
  <si>
    <t>星期二</t>
  </si>
  <si>
    <t>2026.6.3</t>
  </si>
  <si>
    <t>星期三</t>
  </si>
  <si>
    <t>2026.6.4</t>
  </si>
  <si>
    <t>星期四</t>
  </si>
  <si>
    <t>2026.6.5</t>
  </si>
  <si>
    <t>星期五</t>
  </si>
  <si>
    <t>2026.6.6</t>
  </si>
  <si>
    <t>星期六</t>
  </si>
  <si>
    <t>2026.6.7</t>
  </si>
  <si>
    <t>星期日</t>
  </si>
  <si>
    <t>2026.6.8</t>
  </si>
  <si>
    <t>2026.6.9</t>
  </si>
  <si>
    <t>2026.6.10</t>
  </si>
  <si>
    <t>2026.6.11</t>
  </si>
  <si>
    <t>2026.6.12</t>
  </si>
  <si>
    <t>2026.6.13</t>
  </si>
  <si>
    <t>2026.6.14</t>
  </si>
  <si>
    <t>2026.6.15</t>
  </si>
  <si>
    <t>2026.6.16</t>
  </si>
  <si>
    <t>2026.6.17</t>
  </si>
  <si>
    <t>2026.6.18</t>
  </si>
  <si>
    <t>2026.6.19</t>
  </si>
  <si>
    <t>2026.6.20</t>
  </si>
  <si>
    <t>2026.6.21</t>
  </si>
  <si>
    <t>2026.6.22</t>
  </si>
  <si>
    <t>2026.6.23</t>
  </si>
  <si>
    <t>2026.6.24</t>
  </si>
  <si>
    <t>2026.6.25</t>
  </si>
  <si>
    <t>2026.6.26</t>
  </si>
  <si>
    <t>2026.6.27</t>
  </si>
  <si>
    <t>2026.6.28</t>
  </si>
  <si>
    <t>2026.6.29</t>
  </si>
  <si>
    <t>2026.6.30</t>
  </si>
  <si>
    <t>合计</t>
  </si>
  <si>
    <t>2026年6月麦安研东方宝泰店营业现金登记表</t>
  </si>
  <si>
    <t>银豹旧账号</t>
  </si>
  <si>
    <t>银豹现金总金额</t>
  </si>
  <si>
    <t>门店实收现金</t>
  </si>
  <si>
    <t>差异</t>
  </si>
  <si>
    <t>合计：</t>
  </si>
  <si>
    <t>2026年6月麦安研东方宝泰店营业额明细统计表</t>
  </si>
  <si>
    <t>存现（农行0174尾号）</t>
  </si>
  <si>
    <t>银豹预付卡/礼品卡销售金额</t>
  </si>
  <si>
    <t>抖音-卷(抖音后台）</t>
  </si>
  <si>
    <t>手续费0.0028</t>
  </si>
  <si>
    <t>应收金额（入账邮政银行4577尾号）T+1</t>
  </si>
  <si>
    <t>银行实收金额（邮政银行4577尾号）</t>
  </si>
  <si>
    <t>应收金额（小程序微信邮政银行4577尾号）T+1</t>
  </si>
  <si>
    <t>银行实收金额（小程序微信邮政银行4577尾号）t+1</t>
  </si>
  <si>
    <t>预付卡/礼品卡销售金额</t>
  </si>
  <si>
    <t>保险费用/补贴节省转推广账户</t>
  </si>
  <si>
    <t>应收金额(入账农行0174尾号）T+3</t>
  </si>
  <si>
    <t>银行实收金额（农行0174尾号）T+3</t>
  </si>
  <si>
    <t>应收金额（入账农行卡0174尾号）（T+7)</t>
  </si>
  <si>
    <t>银行实收金额（入账农行卡0174尾号）T+7</t>
  </si>
  <si>
    <t>招商应收金额（入账邮政银行4577尾号）(T+2)</t>
  </si>
  <si>
    <t>银行实收金额（入账邮政银行4577尾号）T+2</t>
  </si>
  <si>
    <t>佣金/服务费支出</t>
  </si>
  <si>
    <t>应收金额（邮政银行入账4577尾号）T+5</t>
  </si>
  <si>
    <t xml:space="preserve">邮政银行实收金额（入账4577尾号）T+5  </t>
  </si>
  <si>
    <t>现金合计
（人工）</t>
    <phoneticPr fontId="20" type="noConversion"/>
  </si>
  <si>
    <t>美团推广费</t>
    <phoneticPr fontId="20" type="noConversion"/>
  </si>
  <si>
    <t>高德口碑外卖后台</t>
    <phoneticPr fontId="20" type="noConversion"/>
  </si>
  <si>
    <t>订单金额</t>
  </si>
  <si>
    <t>银行卡实收金额</t>
  </si>
  <si>
    <t>商家优惠</t>
    <phoneticPr fontId="20" type="noConversion"/>
  </si>
  <si>
    <t>服务费</t>
    <phoneticPr fontId="20" type="noConversion"/>
  </si>
  <si>
    <t>美团优惠、建设银行、招商优惠卷、抖音卷系统后台、高德口碑后台收入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</si>
</sst>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\(0.00\)"/>
  </numFmts>
  <fonts count="23" x14ac:knownFonts="1">
    <font>
      <sz val="11"/>
      <color theme="1"/>
      <name val="宋体"/>
      <charset val="134"/>
      <scheme val="minor"/>
    </font>
    <font>
      <sz val="18"/>
      <color theme="1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rgb="FF000000"/>
      <name val="Calibri"/>
      <family val="2"/>
    </font>
    <font>
      <sz val="14"/>
      <color rgb="FF000000"/>
      <name val="宋体"/>
      <family val="3"/>
      <charset val="134"/>
    </font>
    <font>
      <b/>
      <sz val="9"/>
      <color rgb="FF222222"/>
      <name val="Helvetica"/>
      <family val="2"/>
    </font>
    <font>
      <sz val="14"/>
      <color theme="1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sz val="16"/>
      <color rgb="FFFF0000"/>
      <name val="宋体"/>
      <family val="3"/>
      <charset val="134"/>
      <scheme val="minor"/>
    </font>
    <font>
      <b/>
      <sz val="20"/>
      <color rgb="FF00000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b/>
      <sz val="12"/>
      <color rgb="FFFF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4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6B9B8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10" fillId="0" borderId="0" xfId="0" applyFont="1">
      <alignment vertical="center"/>
    </xf>
    <xf numFmtId="0" fontId="15" fillId="0" borderId="0" xfId="0" applyFont="1">
      <alignment vertical="center"/>
    </xf>
    <xf numFmtId="0" fontId="16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18" fillId="0" borderId="0" xfId="0" applyNumberFormat="1" applyFont="1" applyAlignment="1">
      <alignment horizontal="center" vertical="center"/>
    </xf>
    <xf numFmtId="177" fontId="19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 wrapText="1"/>
    </xf>
    <xf numFmtId="177" fontId="12" fillId="0" borderId="1" xfId="0" applyNumberFormat="1" applyFont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177" fontId="11" fillId="7" borderId="1" xfId="0" applyNumberFormat="1" applyFont="1" applyFill="1" applyBorder="1" applyAlignment="1">
      <alignment horizontal="center" vertical="center" wrapText="1"/>
    </xf>
    <xf numFmtId="177" fontId="12" fillId="7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76" fontId="22" fillId="10" borderId="1" xfId="0" applyNumberFormat="1" applyFont="1" applyFill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/>
    </xf>
    <xf numFmtId="176" fontId="22" fillId="0" borderId="1" xfId="0" applyNumberFormat="1" applyFont="1" applyBorder="1" applyAlignment="1">
      <alignment horizontal="center" vertical="center" wrapText="1"/>
    </xf>
    <xf numFmtId="176" fontId="22" fillId="5" borderId="1" xfId="0" applyNumberFormat="1" applyFont="1" applyFill="1" applyBorder="1" applyAlignment="1">
      <alignment horizontal="center" vertical="center"/>
    </xf>
    <xf numFmtId="176" fontId="22" fillId="6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176" fontId="2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77" fontId="11" fillId="5" borderId="1" xfId="0" applyNumberFormat="1" applyFont="1" applyFill="1" applyBorder="1" applyAlignment="1">
      <alignment horizontal="center" vertical="center"/>
    </xf>
    <xf numFmtId="177" fontId="11" fillId="6" borderId="1" xfId="0" applyNumberFormat="1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199"/>
  <sheetViews>
    <sheetView tabSelected="1" workbookViewId="0">
      <pane xSplit="3" ySplit="4" topLeftCell="D5" activePane="bottomRight" state="frozen"/>
      <selection pane="topRight"/>
      <selection pane="bottomLeft"/>
      <selection pane="bottomRight" sqref="A1:BJ1"/>
    </sheetView>
  </sheetViews>
  <sheetFormatPr defaultColWidth="10.33203125" defaultRowHeight="15.6" x14ac:dyDescent="0.25"/>
  <cols>
    <col min="1" max="1" width="4.88671875" style="17" customWidth="1"/>
    <col min="2" max="2" width="11.88671875" style="17" customWidth="1"/>
    <col min="3" max="4" width="10.33203125" style="17"/>
    <col min="5" max="5" width="9" style="17" customWidth="1"/>
    <col min="6" max="6" width="10.33203125" style="17"/>
    <col min="7" max="7" width="9.88671875" style="17" customWidth="1"/>
    <col min="8" max="8" width="12.5546875" style="17" hidden="1" customWidth="1"/>
    <col min="9" max="9" width="12.44140625" style="17" customWidth="1"/>
    <col min="10" max="10" width="9.88671875" style="17" customWidth="1"/>
    <col min="11" max="11" width="11.77734375" style="17" customWidth="1"/>
    <col min="12" max="12" width="10.33203125" style="17"/>
    <col min="13" max="13" width="14" style="17" customWidth="1"/>
    <col min="14" max="14" width="14.5546875" style="17" hidden="1" customWidth="1"/>
    <col min="15" max="15" width="9.88671875" style="17" hidden="1" customWidth="1"/>
    <col min="16" max="16" width="10.33203125" style="17" hidden="1" customWidth="1"/>
    <col min="17" max="19" width="11.109375" style="17" hidden="1" customWidth="1"/>
    <col min="20" max="20" width="15.33203125" style="17" hidden="1" customWidth="1"/>
    <col min="21" max="21" width="13.33203125" style="17" hidden="1" customWidth="1"/>
    <col min="22" max="23" width="10.33203125" style="17"/>
    <col min="24" max="24" width="17.6640625" style="17" hidden="1" customWidth="1"/>
    <col min="25" max="26" width="10.33203125" style="17"/>
    <col min="27" max="27" width="12.21875" style="17" hidden="1" customWidth="1"/>
    <col min="28" max="28" width="9" style="17" hidden="1" customWidth="1"/>
    <col min="29" max="32" width="10.33203125" style="17"/>
    <col min="33" max="33" width="13.6640625" style="17" customWidth="1"/>
    <col min="34" max="35" width="10.33203125" style="17"/>
    <col min="36" max="36" width="17.109375" style="17" customWidth="1"/>
    <col min="37" max="37" width="14" style="17" customWidth="1"/>
    <col min="38" max="38" width="16.33203125" style="17" hidden="1" customWidth="1"/>
    <col min="39" max="41" width="10.33203125" style="17"/>
    <col min="42" max="42" width="11.21875" style="17" customWidth="1"/>
    <col min="43" max="43" width="17.21875" style="17" customWidth="1"/>
    <col min="44" max="44" width="15.109375" style="17" hidden="1" customWidth="1"/>
    <col min="45" max="45" width="10.33203125" style="17"/>
    <col min="46" max="46" width="15.5546875" style="17" customWidth="1"/>
    <col min="47" max="47" width="10" style="17" customWidth="1"/>
    <col min="48" max="48" width="11.5546875" style="17" hidden="1" customWidth="1"/>
    <col min="49" max="49" width="12.77734375" style="17" customWidth="1"/>
    <col min="50" max="50" width="12.6640625" style="17" hidden="1" customWidth="1"/>
    <col min="51" max="51" width="10.88671875" style="17" customWidth="1"/>
    <col min="52" max="52" width="12.6640625" style="17" customWidth="1"/>
    <col min="53" max="53" width="14.5546875" style="17" customWidth="1"/>
    <col min="54" max="59" width="13.33203125" style="17" customWidth="1"/>
    <col min="60" max="60" width="12.21875" style="17" customWidth="1"/>
    <col min="61" max="61" width="12.44140625" style="17" customWidth="1"/>
    <col min="62" max="16384" width="10.33203125" style="17"/>
  </cols>
  <sheetData>
    <row r="1" spans="1:62" ht="26.25" customHeight="1" x14ac:dyDescent="0.25">
      <c r="A1" s="48" t="s">
        <v>86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</row>
    <row r="2" spans="1:62" ht="21" customHeight="1" x14ac:dyDescent="0.25">
      <c r="A2" s="50" t="s">
        <v>0</v>
      </c>
      <c r="B2" s="50" t="s">
        <v>1</v>
      </c>
      <c r="C2" s="50"/>
      <c r="D2" s="50" t="s">
        <v>2</v>
      </c>
      <c r="E2" s="50" t="s">
        <v>3</v>
      </c>
      <c r="F2" s="50" t="s">
        <v>4</v>
      </c>
      <c r="G2" s="54" t="s">
        <v>106</v>
      </c>
      <c r="H2" s="53" t="s">
        <v>87</v>
      </c>
      <c r="I2" s="49" t="s">
        <v>5</v>
      </c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25"/>
      <c r="AC2" s="25"/>
      <c r="AD2" s="61" t="s">
        <v>113</v>
      </c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3"/>
      <c r="BH2" s="55" t="s">
        <v>6</v>
      </c>
      <c r="BI2" s="56" t="s">
        <v>7</v>
      </c>
      <c r="BJ2" s="50" t="s">
        <v>8</v>
      </c>
    </row>
    <row r="3" spans="1:62" s="18" customFormat="1" ht="15" customHeight="1" x14ac:dyDescent="0.25">
      <c r="A3" s="50"/>
      <c r="B3" s="50"/>
      <c r="C3" s="50"/>
      <c r="D3" s="50"/>
      <c r="E3" s="50"/>
      <c r="F3" s="50"/>
      <c r="G3" s="50"/>
      <c r="H3" s="53"/>
      <c r="I3" s="50" t="s">
        <v>9</v>
      </c>
      <c r="J3" s="50"/>
      <c r="K3" s="50"/>
      <c r="L3" s="50"/>
      <c r="M3" s="50"/>
      <c r="N3" s="50"/>
      <c r="O3" s="23"/>
      <c r="P3" s="23"/>
      <c r="Q3" s="50" t="s">
        <v>10</v>
      </c>
      <c r="R3" s="50"/>
      <c r="S3" s="50"/>
      <c r="T3" s="50"/>
      <c r="U3" s="50"/>
      <c r="V3" s="54" t="s">
        <v>11</v>
      </c>
      <c r="W3" s="54" t="s">
        <v>12</v>
      </c>
      <c r="X3" s="23" t="s">
        <v>88</v>
      </c>
      <c r="Y3" s="57" t="s">
        <v>13</v>
      </c>
      <c r="Z3" s="57" t="s">
        <v>14</v>
      </c>
      <c r="AA3" s="50" t="s">
        <v>15</v>
      </c>
      <c r="AB3" s="50" t="s">
        <v>16</v>
      </c>
      <c r="AC3" s="50" t="s">
        <v>17</v>
      </c>
      <c r="AD3" s="51" t="s">
        <v>18</v>
      </c>
      <c r="AE3" s="51"/>
      <c r="AF3" s="51"/>
      <c r="AG3" s="51"/>
      <c r="AH3" s="51"/>
      <c r="AI3" s="51"/>
      <c r="AJ3" s="51"/>
      <c r="AK3" s="51"/>
      <c r="AL3" s="51"/>
      <c r="AM3" s="51" t="s">
        <v>19</v>
      </c>
      <c r="AN3" s="51"/>
      <c r="AO3" s="51"/>
      <c r="AP3" s="51"/>
      <c r="AQ3" s="51"/>
      <c r="AR3" s="51"/>
      <c r="AS3" s="51" t="s">
        <v>20</v>
      </c>
      <c r="AT3" s="51"/>
      <c r="AU3" s="51"/>
      <c r="AV3" s="26"/>
      <c r="AW3" s="52" t="s">
        <v>21</v>
      </c>
      <c r="AX3" s="52"/>
      <c r="AY3" s="51" t="s">
        <v>89</v>
      </c>
      <c r="AZ3" s="51"/>
      <c r="BA3" s="51"/>
      <c r="BB3" s="51"/>
      <c r="BC3" s="58" t="s">
        <v>108</v>
      </c>
      <c r="BD3" s="59"/>
      <c r="BE3" s="59"/>
      <c r="BF3" s="59"/>
      <c r="BG3" s="60"/>
      <c r="BH3" s="55"/>
      <c r="BI3" s="56"/>
      <c r="BJ3" s="50"/>
    </row>
    <row r="4" spans="1:62" s="18" customFormat="1" ht="87" x14ac:dyDescent="0.25">
      <c r="A4" s="50"/>
      <c r="B4" s="50"/>
      <c r="C4" s="50"/>
      <c r="D4" s="50"/>
      <c r="E4" s="50"/>
      <c r="F4" s="50"/>
      <c r="G4" s="50"/>
      <c r="H4" s="53"/>
      <c r="I4" s="23" t="s">
        <v>22</v>
      </c>
      <c r="J4" s="23" t="s">
        <v>23</v>
      </c>
      <c r="K4" s="24" t="s">
        <v>24</v>
      </c>
      <c r="L4" s="27" t="s">
        <v>90</v>
      </c>
      <c r="M4" s="27" t="s">
        <v>91</v>
      </c>
      <c r="N4" s="28" t="s">
        <v>92</v>
      </c>
      <c r="O4" s="29" t="s">
        <v>25</v>
      </c>
      <c r="P4" s="29" t="s">
        <v>26</v>
      </c>
      <c r="Q4" s="29" t="s">
        <v>23</v>
      </c>
      <c r="R4" s="29" t="s">
        <v>27</v>
      </c>
      <c r="S4" s="30" t="s">
        <v>90</v>
      </c>
      <c r="T4" s="30" t="s">
        <v>93</v>
      </c>
      <c r="U4" s="31" t="s">
        <v>94</v>
      </c>
      <c r="V4" s="54"/>
      <c r="W4" s="54"/>
      <c r="X4" s="32" t="s">
        <v>95</v>
      </c>
      <c r="Y4" s="57"/>
      <c r="Z4" s="57"/>
      <c r="AA4" s="50"/>
      <c r="AB4" s="50"/>
      <c r="AC4" s="50"/>
      <c r="AD4" s="24" t="s">
        <v>107</v>
      </c>
      <c r="AE4" s="24" t="s">
        <v>28</v>
      </c>
      <c r="AF4" s="24" t="s">
        <v>29</v>
      </c>
      <c r="AG4" s="24" t="s">
        <v>30</v>
      </c>
      <c r="AH4" s="24" t="s">
        <v>31</v>
      </c>
      <c r="AI4" s="24" t="s">
        <v>32</v>
      </c>
      <c r="AJ4" s="24" t="s">
        <v>96</v>
      </c>
      <c r="AK4" s="33" t="s">
        <v>97</v>
      </c>
      <c r="AL4" s="34" t="s">
        <v>98</v>
      </c>
      <c r="AM4" s="24" t="s">
        <v>33</v>
      </c>
      <c r="AN4" s="24" t="s">
        <v>34</v>
      </c>
      <c r="AO4" s="24" t="s">
        <v>35</v>
      </c>
      <c r="AP4" s="24" t="s">
        <v>36</v>
      </c>
      <c r="AQ4" s="35" t="s">
        <v>99</v>
      </c>
      <c r="AR4" s="34" t="s">
        <v>100</v>
      </c>
      <c r="AS4" s="27" t="s">
        <v>37</v>
      </c>
      <c r="AT4" s="27" t="s">
        <v>38</v>
      </c>
      <c r="AU4" s="27" t="s">
        <v>39</v>
      </c>
      <c r="AV4" s="28" t="s">
        <v>40</v>
      </c>
      <c r="AW4" s="24" t="s">
        <v>101</v>
      </c>
      <c r="AX4" s="34" t="s">
        <v>102</v>
      </c>
      <c r="AY4" s="24" t="s">
        <v>41</v>
      </c>
      <c r="AZ4" s="24" t="s">
        <v>103</v>
      </c>
      <c r="BA4" s="35" t="s">
        <v>104</v>
      </c>
      <c r="BB4" s="34" t="s">
        <v>105</v>
      </c>
      <c r="BC4" s="37" t="s">
        <v>109</v>
      </c>
      <c r="BD4" s="37" t="s">
        <v>111</v>
      </c>
      <c r="BE4" s="37" t="s">
        <v>112</v>
      </c>
      <c r="BF4" s="37" t="s">
        <v>39</v>
      </c>
      <c r="BG4" s="34" t="s">
        <v>110</v>
      </c>
      <c r="BH4" s="55"/>
      <c r="BI4" s="56"/>
      <c r="BJ4" s="50"/>
    </row>
    <row r="5" spans="1:62" s="18" customFormat="1" ht="22.95" customHeight="1" x14ac:dyDescent="0.25">
      <c r="A5" s="23">
        <f t="shared" ref="A5:A36" si="0">ROW()-4</f>
        <v>1</v>
      </c>
      <c r="B5" s="19" t="s">
        <v>42</v>
      </c>
      <c r="C5" s="19" t="s">
        <v>43</v>
      </c>
      <c r="D5" s="38">
        <f>F5-E5</f>
        <v>0</v>
      </c>
      <c r="E5" s="39"/>
      <c r="F5" s="39"/>
      <c r="G5" s="39"/>
      <c r="H5" s="39"/>
      <c r="I5" s="39"/>
      <c r="J5" s="39"/>
      <c r="K5" s="38">
        <f>I5-J5</f>
        <v>0</v>
      </c>
      <c r="L5" s="39"/>
      <c r="M5" s="38">
        <f t="shared" ref="M5:M35" si="1">K5-L5</f>
        <v>0</v>
      </c>
      <c r="N5" s="39"/>
      <c r="O5" s="39"/>
      <c r="P5" s="39"/>
      <c r="Q5" s="39"/>
      <c r="R5" s="38">
        <f t="shared" ref="R5:R35" si="2">P5-Q5</f>
        <v>0</v>
      </c>
      <c r="S5" s="39"/>
      <c r="T5" s="38">
        <f t="shared" ref="T5:T35" si="3">R5-S5</f>
        <v>0</v>
      </c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8">
        <f>AE5+AF5-AG5-AH5-AI5-AJ5</f>
        <v>0</v>
      </c>
      <c r="AL5" s="39"/>
      <c r="AM5" s="39"/>
      <c r="AN5" s="39"/>
      <c r="AO5" s="39"/>
      <c r="AP5" s="40"/>
      <c r="AQ5" s="38">
        <f t="shared" ref="AQ5:AQ26" si="4">AM5-AN5-AO5-AP5</f>
        <v>0</v>
      </c>
      <c r="AR5" s="39"/>
      <c r="AS5" s="39"/>
      <c r="AT5" s="39"/>
      <c r="AU5" s="38">
        <f t="shared" ref="AU5:AU35" si="5">AS5-AT5</f>
        <v>0</v>
      </c>
      <c r="AV5" s="39"/>
      <c r="AW5" s="39"/>
      <c r="AX5" s="39"/>
      <c r="AY5" s="40"/>
      <c r="AZ5" s="39"/>
      <c r="BA5" s="38">
        <f t="shared" ref="BA5:BA35" si="6">AY5-AZ5</f>
        <v>0</v>
      </c>
      <c r="BB5" s="39"/>
      <c r="BC5" s="39"/>
      <c r="BD5" s="39"/>
      <c r="BE5" s="39"/>
      <c r="BF5" s="38">
        <f>BC5-BD5-BE5</f>
        <v>0</v>
      </c>
      <c r="BG5" s="39"/>
      <c r="BH5" s="41">
        <f>G5+M5+T5+AK5+AQ5+AU5+AW5+BA5+BF5</f>
        <v>0</v>
      </c>
      <c r="BI5" s="42">
        <f>G5+K5+R5+AE5+AM5+AS5+AW5+AY5+BC5</f>
        <v>0</v>
      </c>
      <c r="BJ5" s="43"/>
    </row>
    <row r="6" spans="1:62" s="18" customFormat="1" ht="22.95" customHeight="1" x14ac:dyDescent="0.25">
      <c r="A6" s="23">
        <f t="shared" si="0"/>
        <v>2</v>
      </c>
      <c r="B6" s="19" t="s">
        <v>44</v>
      </c>
      <c r="C6" s="19" t="s">
        <v>45</v>
      </c>
      <c r="D6" s="38">
        <f t="shared" ref="D6:D35" si="7">F6-E6</f>
        <v>0</v>
      </c>
      <c r="E6" s="39"/>
      <c r="F6" s="39"/>
      <c r="G6" s="39"/>
      <c r="H6" s="39"/>
      <c r="I6" s="39"/>
      <c r="J6" s="39"/>
      <c r="K6" s="38">
        <f t="shared" ref="K6:K35" si="8">I6-J6</f>
        <v>0</v>
      </c>
      <c r="L6" s="39"/>
      <c r="M6" s="38">
        <f t="shared" si="1"/>
        <v>0</v>
      </c>
      <c r="N6" s="39"/>
      <c r="O6" s="39"/>
      <c r="P6" s="39"/>
      <c r="Q6" s="39"/>
      <c r="R6" s="38">
        <f t="shared" si="2"/>
        <v>0</v>
      </c>
      <c r="S6" s="39"/>
      <c r="T6" s="38">
        <f t="shared" si="3"/>
        <v>0</v>
      </c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8">
        <f t="shared" ref="AK6:AK35" si="9">AE6+AF6-AG6-AH6-AI6-AJ6</f>
        <v>0</v>
      </c>
      <c r="AL6" s="39"/>
      <c r="AM6" s="39"/>
      <c r="AN6" s="39"/>
      <c r="AO6" s="39"/>
      <c r="AP6" s="40"/>
      <c r="AQ6" s="38">
        <f t="shared" si="4"/>
        <v>0</v>
      </c>
      <c r="AR6" s="39"/>
      <c r="AS6" s="39"/>
      <c r="AT6" s="39"/>
      <c r="AU6" s="38">
        <f t="shared" si="5"/>
        <v>0</v>
      </c>
      <c r="AV6" s="39"/>
      <c r="AW6" s="39"/>
      <c r="AX6" s="39"/>
      <c r="AY6" s="40"/>
      <c r="AZ6" s="39"/>
      <c r="BA6" s="38">
        <f t="shared" si="6"/>
        <v>0</v>
      </c>
      <c r="BB6" s="39"/>
      <c r="BC6" s="39"/>
      <c r="BD6" s="39"/>
      <c r="BE6" s="39"/>
      <c r="BF6" s="38">
        <f t="shared" ref="BF6:BF35" si="10">BC6-BD6-BE6</f>
        <v>0</v>
      </c>
      <c r="BG6" s="39"/>
      <c r="BH6" s="41">
        <f t="shared" ref="BH6:BH35" si="11">G6+M6+T6+AK6+AQ6+AU6+AW6+BA6+BF6</f>
        <v>0</v>
      </c>
      <c r="BI6" s="42">
        <f t="shared" ref="BI6:BI35" si="12">G6+K6+R6+AE6+AM6+AS6+AW6+AY6+BC6</f>
        <v>0</v>
      </c>
      <c r="BJ6" s="43"/>
    </row>
    <row r="7" spans="1:62" s="18" customFormat="1" ht="22.95" customHeight="1" x14ac:dyDescent="0.25">
      <c r="A7" s="23">
        <f t="shared" si="0"/>
        <v>3</v>
      </c>
      <c r="B7" s="19" t="s">
        <v>46</v>
      </c>
      <c r="C7" s="19" t="s">
        <v>47</v>
      </c>
      <c r="D7" s="38">
        <f t="shared" si="7"/>
        <v>0</v>
      </c>
      <c r="E7" s="39"/>
      <c r="F7" s="39"/>
      <c r="G7" s="39"/>
      <c r="H7" s="39"/>
      <c r="I7" s="39"/>
      <c r="J7" s="39"/>
      <c r="K7" s="38">
        <f t="shared" si="8"/>
        <v>0</v>
      </c>
      <c r="L7" s="39"/>
      <c r="M7" s="38">
        <f t="shared" si="1"/>
        <v>0</v>
      </c>
      <c r="N7" s="39"/>
      <c r="O7" s="39"/>
      <c r="P7" s="39"/>
      <c r="Q7" s="39"/>
      <c r="R7" s="38">
        <f t="shared" si="2"/>
        <v>0</v>
      </c>
      <c r="S7" s="39"/>
      <c r="T7" s="38">
        <f t="shared" si="3"/>
        <v>0</v>
      </c>
      <c r="U7" s="39"/>
      <c r="V7" s="39"/>
      <c r="W7" s="39"/>
      <c r="X7" s="39"/>
      <c r="Y7" s="39"/>
      <c r="Z7" s="39"/>
      <c r="AA7" s="39"/>
      <c r="AB7" s="39"/>
      <c r="AC7" s="39"/>
      <c r="AD7" s="39"/>
      <c r="AE7" s="39"/>
      <c r="AF7" s="39"/>
      <c r="AG7" s="39"/>
      <c r="AH7" s="39"/>
      <c r="AI7" s="39"/>
      <c r="AJ7" s="39"/>
      <c r="AK7" s="38">
        <f t="shared" si="9"/>
        <v>0</v>
      </c>
      <c r="AL7" s="39"/>
      <c r="AM7" s="39"/>
      <c r="AN7" s="40"/>
      <c r="AO7" s="40"/>
      <c r="AP7" s="40"/>
      <c r="AQ7" s="38">
        <f t="shared" si="4"/>
        <v>0</v>
      </c>
      <c r="AR7" s="39"/>
      <c r="AS7" s="39"/>
      <c r="AT7" s="39"/>
      <c r="AU7" s="38">
        <f t="shared" si="5"/>
        <v>0</v>
      </c>
      <c r="AV7" s="39"/>
      <c r="AW7" s="39"/>
      <c r="AX7" s="39"/>
      <c r="AY7" s="40"/>
      <c r="AZ7" s="39"/>
      <c r="BA7" s="38">
        <f t="shared" si="6"/>
        <v>0</v>
      </c>
      <c r="BB7" s="39"/>
      <c r="BC7" s="39"/>
      <c r="BD7" s="39"/>
      <c r="BE7" s="39"/>
      <c r="BF7" s="38">
        <f t="shared" si="10"/>
        <v>0</v>
      </c>
      <c r="BG7" s="39"/>
      <c r="BH7" s="41">
        <f t="shared" si="11"/>
        <v>0</v>
      </c>
      <c r="BI7" s="42">
        <f t="shared" si="12"/>
        <v>0</v>
      </c>
      <c r="BJ7" s="44"/>
    </row>
    <row r="8" spans="1:62" s="18" customFormat="1" ht="22.95" customHeight="1" x14ac:dyDescent="0.25">
      <c r="A8" s="23">
        <f t="shared" si="0"/>
        <v>4</v>
      </c>
      <c r="B8" s="19" t="s">
        <v>48</v>
      </c>
      <c r="C8" s="19" t="s">
        <v>49</v>
      </c>
      <c r="D8" s="38">
        <f t="shared" si="7"/>
        <v>0</v>
      </c>
      <c r="E8" s="39"/>
      <c r="F8" s="39"/>
      <c r="G8" s="39"/>
      <c r="H8" s="39"/>
      <c r="I8" s="39"/>
      <c r="J8" s="39"/>
      <c r="K8" s="38">
        <f t="shared" si="8"/>
        <v>0</v>
      </c>
      <c r="L8" s="39"/>
      <c r="M8" s="38">
        <f t="shared" si="1"/>
        <v>0</v>
      </c>
      <c r="N8" s="39"/>
      <c r="O8" s="39"/>
      <c r="P8" s="39"/>
      <c r="Q8" s="39"/>
      <c r="R8" s="38">
        <f t="shared" si="2"/>
        <v>0</v>
      </c>
      <c r="S8" s="39"/>
      <c r="T8" s="38">
        <f t="shared" si="3"/>
        <v>0</v>
      </c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8">
        <f t="shared" si="9"/>
        <v>0</v>
      </c>
      <c r="AL8" s="39"/>
      <c r="AM8" s="39"/>
      <c r="AN8" s="39"/>
      <c r="AO8" s="39"/>
      <c r="AP8" s="40"/>
      <c r="AQ8" s="38">
        <f t="shared" si="4"/>
        <v>0</v>
      </c>
      <c r="AR8" s="39"/>
      <c r="AS8" s="39"/>
      <c r="AT8" s="39"/>
      <c r="AU8" s="38">
        <f t="shared" si="5"/>
        <v>0</v>
      </c>
      <c r="AV8" s="39"/>
      <c r="AW8" s="39"/>
      <c r="AX8" s="39"/>
      <c r="AY8" s="40"/>
      <c r="AZ8" s="40"/>
      <c r="BA8" s="38">
        <f t="shared" si="6"/>
        <v>0</v>
      </c>
      <c r="BB8" s="39"/>
      <c r="BC8" s="39"/>
      <c r="BD8" s="39"/>
      <c r="BE8" s="39"/>
      <c r="BF8" s="38">
        <f t="shared" si="10"/>
        <v>0</v>
      </c>
      <c r="BG8" s="39"/>
      <c r="BH8" s="41">
        <f t="shared" si="11"/>
        <v>0</v>
      </c>
      <c r="BI8" s="42">
        <f t="shared" si="12"/>
        <v>0</v>
      </c>
      <c r="BJ8" s="45"/>
    </row>
    <row r="9" spans="1:62" s="18" customFormat="1" ht="22.95" customHeight="1" x14ac:dyDescent="0.25">
      <c r="A9" s="23">
        <f t="shared" si="0"/>
        <v>5</v>
      </c>
      <c r="B9" s="19" t="s">
        <v>50</v>
      </c>
      <c r="C9" s="19" t="s">
        <v>51</v>
      </c>
      <c r="D9" s="38">
        <f t="shared" si="7"/>
        <v>0</v>
      </c>
      <c r="E9" s="39"/>
      <c r="F9" s="39"/>
      <c r="G9" s="39"/>
      <c r="H9" s="39"/>
      <c r="I9" s="39"/>
      <c r="J9" s="39"/>
      <c r="K9" s="38">
        <f t="shared" si="8"/>
        <v>0</v>
      </c>
      <c r="L9" s="39"/>
      <c r="M9" s="38">
        <f t="shared" si="1"/>
        <v>0</v>
      </c>
      <c r="N9" s="39"/>
      <c r="O9" s="39"/>
      <c r="P9" s="39"/>
      <c r="Q9" s="39"/>
      <c r="R9" s="38">
        <f t="shared" si="2"/>
        <v>0</v>
      </c>
      <c r="S9" s="39"/>
      <c r="T9" s="38">
        <f t="shared" si="3"/>
        <v>0</v>
      </c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8">
        <f t="shared" si="9"/>
        <v>0</v>
      </c>
      <c r="AL9" s="39"/>
      <c r="AM9" s="39"/>
      <c r="AN9" s="39"/>
      <c r="AO9" s="39"/>
      <c r="AP9" s="39"/>
      <c r="AQ9" s="38">
        <f t="shared" si="4"/>
        <v>0</v>
      </c>
      <c r="AR9" s="39"/>
      <c r="AS9" s="39"/>
      <c r="AT9" s="39"/>
      <c r="AU9" s="38">
        <f t="shared" si="5"/>
        <v>0</v>
      </c>
      <c r="AV9" s="39"/>
      <c r="AW9" s="39"/>
      <c r="AX9" s="39"/>
      <c r="AY9" s="40"/>
      <c r="AZ9" s="40"/>
      <c r="BA9" s="38">
        <f t="shared" si="6"/>
        <v>0</v>
      </c>
      <c r="BB9" s="39"/>
      <c r="BC9" s="39"/>
      <c r="BD9" s="39"/>
      <c r="BE9" s="39"/>
      <c r="BF9" s="38">
        <f t="shared" si="10"/>
        <v>0</v>
      </c>
      <c r="BG9" s="39"/>
      <c r="BH9" s="41">
        <f t="shared" si="11"/>
        <v>0</v>
      </c>
      <c r="BI9" s="42">
        <f t="shared" si="12"/>
        <v>0</v>
      </c>
      <c r="BJ9" s="43"/>
    </row>
    <row r="10" spans="1:62" s="18" customFormat="1" ht="22.95" customHeight="1" x14ac:dyDescent="0.25">
      <c r="A10" s="23">
        <f t="shared" si="0"/>
        <v>6</v>
      </c>
      <c r="B10" s="19" t="s">
        <v>52</v>
      </c>
      <c r="C10" s="19" t="s">
        <v>53</v>
      </c>
      <c r="D10" s="38">
        <f t="shared" si="7"/>
        <v>0</v>
      </c>
      <c r="E10" s="39"/>
      <c r="F10" s="39"/>
      <c r="G10" s="39"/>
      <c r="H10" s="39"/>
      <c r="I10" s="39"/>
      <c r="J10" s="39"/>
      <c r="K10" s="38">
        <f t="shared" si="8"/>
        <v>0</v>
      </c>
      <c r="L10" s="39"/>
      <c r="M10" s="38">
        <f t="shared" si="1"/>
        <v>0</v>
      </c>
      <c r="N10" s="39"/>
      <c r="O10" s="39"/>
      <c r="P10" s="39"/>
      <c r="Q10" s="39"/>
      <c r="R10" s="38">
        <f t="shared" si="2"/>
        <v>0</v>
      </c>
      <c r="S10" s="39"/>
      <c r="T10" s="38">
        <f t="shared" si="3"/>
        <v>0</v>
      </c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8">
        <f t="shared" si="9"/>
        <v>0</v>
      </c>
      <c r="AL10" s="39"/>
      <c r="AM10" s="39"/>
      <c r="AN10" s="39"/>
      <c r="AO10" s="39"/>
      <c r="AP10" s="39"/>
      <c r="AQ10" s="38">
        <f t="shared" si="4"/>
        <v>0</v>
      </c>
      <c r="AR10" s="39"/>
      <c r="AS10" s="39"/>
      <c r="AT10" s="39"/>
      <c r="AU10" s="38">
        <f t="shared" si="5"/>
        <v>0</v>
      </c>
      <c r="AV10" s="39"/>
      <c r="AW10" s="39"/>
      <c r="AX10" s="39"/>
      <c r="AY10" s="40"/>
      <c r="AZ10" s="39"/>
      <c r="BA10" s="38">
        <f t="shared" si="6"/>
        <v>0</v>
      </c>
      <c r="BB10" s="39"/>
      <c r="BC10" s="39"/>
      <c r="BD10" s="39"/>
      <c r="BE10" s="39"/>
      <c r="BF10" s="38">
        <f t="shared" si="10"/>
        <v>0</v>
      </c>
      <c r="BG10" s="39"/>
      <c r="BH10" s="41">
        <f t="shared" si="11"/>
        <v>0</v>
      </c>
      <c r="BI10" s="42">
        <f t="shared" si="12"/>
        <v>0</v>
      </c>
      <c r="BJ10" s="43"/>
    </row>
    <row r="11" spans="1:62" s="18" customFormat="1" ht="22.95" customHeight="1" x14ac:dyDescent="0.25">
      <c r="A11" s="23">
        <f t="shared" si="0"/>
        <v>7</v>
      </c>
      <c r="B11" s="19" t="s">
        <v>54</v>
      </c>
      <c r="C11" s="19" t="s">
        <v>55</v>
      </c>
      <c r="D11" s="38">
        <f t="shared" si="7"/>
        <v>0</v>
      </c>
      <c r="E11" s="39"/>
      <c r="F11" s="39"/>
      <c r="G11" s="39"/>
      <c r="H11" s="39"/>
      <c r="I11" s="39"/>
      <c r="J11" s="39"/>
      <c r="K11" s="38">
        <f t="shared" si="8"/>
        <v>0</v>
      </c>
      <c r="L11" s="39"/>
      <c r="M11" s="38">
        <f t="shared" si="1"/>
        <v>0</v>
      </c>
      <c r="N11" s="39"/>
      <c r="O11" s="39"/>
      <c r="P11" s="39"/>
      <c r="Q11" s="39"/>
      <c r="R11" s="38">
        <f t="shared" si="2"/>
        <v>0</v>
      </c>
      <c r="S11" s="39"/>
      <c r="T11" s="38">
        <f t="shared" si="3"/>
        <v>0</v>
      </c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8">
        <f t="shared" si="9"/>
        <v>0</v>
      </c>
      <c r="AL11" s="39"/>
      <c r="AM11" s="39"/>
      <c r="AN11" s="39"/>
      <c r="AO11" s="39"/>
      <c r="AP11" s="40"/>
      <c r="AQ11" s="38">
        <f t="shared" si="4"/>
        <v>0</v>
      </c>
      <c r="AR11" s="39"/>
      <c r="AS11" s="39"/>
      <c r="AT11" s="39"/>
      <c r="AU11" s="38">
        <f t="shared" si="5"/>
        <v>0</v>
      </c>
      <c r="AV11" s="39"/>
      <c r="AW11" s="39"/>
      <c r="AX11" s="39"/>
      <c r="AY11" s="40"/>
      <c r="AZ11" s="39"/>
      <c r="BA11" s="38">
        <f t="shared" si="6"/>
        <v>0</v>
      </c>
      <c r="BB11" s="39"/>
      <c r="BC11" s="39"/>
      <c r="BD11" s="39"/>
      <c r="BE11" s="39"/>
      <c r="BF11" s="38">
        <f t="shared" si="10"/>
        <v>0</v>
      </c>
      <c r="BG11" s="39"/>
      <c r="BH11" s="41">
        <f t="shared" si="11"/>
        <v>0</v>
      </c>
      <c r="BI11" s="42">
        <f t="shared" si="12"/>
        <v>0</v>
      </c>
      <c r="BJ11" s="43"/>
    </row>
    <row r="12" spans="1:62" s="18" customFormat="1" ht="22.95" customHeight="1" x14ac:dyDescent="0.25">
      <c r="A12" s="23">
        <f t="shared" si="0"/>
        <v>8</v>
      </c>
      <c r="B12" s="19" t="s">
        <v>56</v>
      </c>
      <c r="C12" s="19" t="s">
        <v>43</v>
      </c>
      <c r="D12" s="38">
        <f t="shared" si="7"/>
        <v>0</v>
      </c>
      <c r="E12" s="39"/>
      <c r="F12" s="39"/>
      <c r="G12" s="39"/>
      <c r="H12" s="39"/>
      <c r="I12" s="39"/>
      <c r="J12" s="39"/>
      <c r="K12" s="38">
        <f t="shared" si="8"/>
        <v>0</v>
      </c>
      <c r="L12" s="39"/>
      <c r="M12" s="38">
        <f t="shared" si="1"/>
        <v>0</v>
      </c>
      <c r="N12" s="39"/>
      <c r="O12" s="39"/>
      <c r="P12" s="39"/>
      <c r="Q12" s="39"/>
      <c r="R12" s="38">
        <f t="shared" si="2"/>
        <v>0</v>
      </c>
      <c r="S12" s="39"/>
      <c r="T12" s="38">
        <f t="shared" si="3"/>
        <v>0</v>
      </c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8">
        <f t="shared" si="9"/>
        <v>0</v>
      </c>
      <c r="AL12" s="39"/>
      <c r="AM12" s="39"/>
      <c r="AN12" s="39"/>
      <c r="AO12" s="39"/>
      <c r="AP12" s="39"/>
      <c r="AQ12" s="38">
        <f t="shared" si="4"/>
        <v>0</v>
      </c>
      <c r="AR12" s="39"/>
      <c r="AS12" s="39"/>
      <c r="AT12" s="39"/>
      <c r="AU12" s="38">
        <f t="shared" si="5"/>
        <v>0</v>
      </c>
      <c r="AV12" s="39"/>
      <c r="AW12" s="39"/>
      <c r="AX12" s="39"/>
      <c r="AY12" s="40"/>
      <c r="AZ12" s="39"/>
      <c r="BA12" s="38">
        <f t="shared" si="6"/>
        <v>0</v>
      </c>
      <c r="BB12" s="39"/>
      <c r="BC12" s="39"/>
      <c r="BD12" s="39"/>
      <c r="BE12" s="39"/>
      <c r="BF12" s="38">
        <f t="shared" si="10"/>
        <v>0</v>
      </c>
      <c r="BG12" s="39"/>
      <c r="BH12" s="41">
        <f t="shared" si="11"/>
        <v>0</v>
      </c>
      <c r="BI12" s="42">
        <f t="shared" si="12"/>
        <v>0</v>
      </c>
      <c r="BJ12" s="43"/>
    </row>
    <row r="13" spans="1:62" s="18" customFormat="1" ht="22.95" customHeight="1" x14ac:dyDescent="0.25">
      <c r="A13" s="23">
        <f t="shared" si="0"/>
        <v>9</v>
      </c>
      <c r="B13" s="19" t="s">
        <v>57</v>
      </c>
      <c r="C13" s="19" t="s">
        <v>45</v>
      </c>
      <c r="D13" s="38">
        <f t="shared" si="7"/>
        <v>0</v>
      </c>
      <c r="E13" s="39"/>
      <c r="F13" s="39"/>
      <c r="G13" s="39"/>
      <c r="H13" s="39"/>
      <c r="I13" s="39"/>
      <c r="J13" s="39"/>
      <c r="K13" s="38">
        <f t="shared" si="8"/>
        <v>0</v>
      </c>
      <c r="L13" s="39"/>
      <c r="M13" s="38">
        <f t="shared" si="1"/>
        <v>0</v>
      </c>
      <c r="N13" s="39"/>
      <c r="O13" s="39"/>
      <c r="P13" s="39"/>
      <c r="Q13" s="39"/>
      <c r="R13" s="38">
        <f t="shared" si="2"/>
        <v>0</v>
      </c>
      <c r="S13" s="39"/>
      <c r="T13" s="38">
        <f t="shared" si="3"/>
        <v>0</v>
      </c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8">
        <f t="shared" si="9"/>
        <v>0</v>
      </c>
      <c r="AL13" s="39"/>
      <c r="AM13" s="39"/>
      <c r="AN13" s="39"/>
      <c r="AO13" s="39"/>
      <c r="AP13" s="39"/>
      <c r="AQ13" s="38">
        <f t="shared" si="4"/>
        <v>0</v>
      </c>
      <c r="AR13" s="39"/>
      <c r="AS13" s="39"/>
      <c r="AT13" s="39"/>
      <c r="AU13" s="38">
        <f t="shared" si="5"/>
        <v>0</v>
      </c>
      <c r="AV13" s="39"/>
      <c r="AW13" s="39"/>
      <c r="AX13" s="39"/>
      <c r="AY13" s="40"/>
      <c r="AZ13" s="39"/>
      <c r="BA13" s="38">
        <f t="shared" si="6"/>
        <v>0</v>
      </c>
      <c r="BB13" s="39"/>
      <c r="BC13" s="39"/>
      <c r="BD13" s="39"/>
      <c r="BE13" s="39"/>
      <c r="BF13" s="38">
        <f t="shared" si="10"/>
        <v>0</v>
      </c>
      <c r="BG13" s="39"/>
      <c r="BH13" s="41">
        <f t="shared" si="11"/>
        <v>0</v>
      </c>
      <c r="BI13" s="42">
        <f t="shared" si="12"/>
        <v>0</v>
      </c>
      <c r="BJ13" s="43"/>
    </row>
    <row r="14" spans="1:62" s="18" customFormat="1" ht="22.95" customHeight="1" x14ac:dyDescent="0.25">
      <c r="A14" s="23">
        <f t="shared" si="0"/>
        <v>10</v>
      </c>
      <c r="B14" s="19" t="s">
        <v>58</v>
      </c>
      <c r="C14" s="19" t="s">
        <v>47</v>
      </c>
      <c r="D14" s="38">
        <f t="shared" si="7"/>
        <v>0</v>
      </c>
      <c r="E14" s="39"/>
      <c r="F14" s="39"/>
      <c r="G14" s="39"/>
      <c r="H14" s="39"/>
      <c r="I14" s="39"/>
      <c r="J14" s="39"/>
      <c r="K14" s="38">
        <f t="shared" si="8"/>
        <v>0</v>
      </c>
      <c r="L14" s="39"/>
      <c r="M14" s="38">
        <f t="shared" si="1"/>
        <v>0</v>
      </c>
      <c r="N14" s="39"/>
      <c r="O14" s="39"/>
      <c r="P14" s="39"/>
      <c r="Q14" s="39"/>
      <c r="R14" s="38">
        <f t="shared" si="2"/>
        <v>0</v>
      </c>
      <c r="S14" s="39"/>
      <c r="T14" s="38">
        <f t="shared" si="3"/>
        <v>0</v>
      </c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8">
        <f t="shared" si="9"/>
        <v>0</v>
      </c>
      <c r="AL14" s="39"/>
      <c r="AM14" s="39"/>
      <c r="AN14" s="39"/>
      <c r="AO14" s="39"/>
      <c r="AP14" s="39"/>
      <c r="AQ14" s="38">
        <f t="shared" si="4"/>
        <v>0</v>
      </c>
      <c r="AR14" s="39"/>
      <c r="AS14" s="39"/>
      <c r="AT14" s="39"/>
      <c r="AU14" s="38">
        <f t="shared" si="5"/>
        <v>0</v>
      </c>
      <c r="AV14" s="39"/>
      <c r="AW14" s="39"/>
      <c r="AX14" s="39"/>
      <c r="AY14" s="40"/>
      <c r="AZ14" s="39"/>
      <c r="BA14" s="38">
        <f t="shared" si="6"/>
        <v>0</v>
      </c>
      <c r="BB14" s="39"/>
      <c r="BC14" s="39"/>
      <c r="BD14" s="39"/>
      <c r="BE14" s="39"/>
      <c r="BF14" s="38">
        <f t="shared" si="10"/>
        <v>0</v>
      </c>
      <c r="BG14" s="39"/>
      <c r="BH14" s="41">
        <f t="shared" si="11"/>
        <v>0</v>
      </c>
      <c r="BI14" s="42">
        <f t="shared" si="12"/>
        <v>0</v>
      </c>
      <c r="BJ14" s="43"/>
    </row>
    <row r="15" spans="1:62" s="18" customFormat="1" ht="22.95" customHeight="1" x14ac:dyDescent="0.25">
      <c r="A15" s="23">
        <f t="shared" si="0"/>
        <v>11</v>
      </c>
      <c r="B15" s="19" t="s">
        <v>59</v>
      </c>
      <c r="C15" s="19" t="s">
        <v>49</v>
      </c>
      <c r="D15" s="38">
        <f t="shared" si="7"/>
        <v>0</v>
      </c>
      <c r="E15" s="39"/>
      <c r="F15" s="39"/>
      <c r="G15" s="39"/>
      <c r="H15" s="39"/>
      <c r="I15" s="39"/>
      <c r="J15" s="39"/>
      <c r="K15" s="38">
        <f t="shared" si="8"/>
        <v>0</v>
      </c>
      <c r="L15" s="39"/>
      <c r="M15" s="38">
        <f t="shared" si="1"/>
        <v>0</v>
      </c>
      <c r="N15" s="39"/>
      <c r="O15" s="39"/>
      <c r="P15" s="39"/>
      <c r="Q15" s="39"/>
      <c r="R15" s="38">
        <f t="shared" si="2"/>
        <v>0</v>
      </c>
      <c r="S15" s="39"/>
      <c r="T15" s="38">
        <f t="shared" si="3"/>
        <v>0</v>
      </c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8">
        <f t="shared" si="9"/>
        <v>0</v>
      </c>
      <c r="AL15" s="39"/>
      <c r="AM15" s="39"/>
      <c r="AN15" s="39"/>
      <c r="AO15" s="39"/>
      <c r="AP15" s="39"/>
      <c r="AQ15" s="38">
        <f t="shared" si="4"/>
        <v>0</v>
      </c>
      <c r="AR15" s="39"/>
      <c r="AS15" s="39"/>
      <c r="AT15" s="39"/>
      <c r="AU15" s="38">
        <f t="shared" si="5"/>
        <v>0</v>
      </c>
      <c r="AV15" s="39"/>
      <c r="AW15" s="39"/>
      <c r="AX15" s="39"/>
      <c r="AY15" s="40"/>
      <c r="AZ15" s="39"/>
      <c r="BA15" s="38">
        <f t="shared" si="6"/>
        <v>0</v>
      </c>
      <c r="BB15" s="39"/>
      <c r="BC15" s="39"/>
      <c r="BD15" s="39"/>
      <c r="BE15" s="39"/>
      <c r="BF15" s="38">
        <f t="shared" si="10"/>
        <v>0</v>
      </c>
      <c r="BG15" s="39"/>
      <c r="BH15" s="41">
        <f t="shared" si="11"/>
        <v>0</v>
      </c>
      <c r="BI15" s="42">
        <f t="shared" si="12"/>
        <v>0</v>
      </c>
      <c r="BJ15" s="43"/>
    </row>
    <row r="16" spans="1:62" s="18" customFormat="1" ht="22.95" customHeight="1" x14ac:dyDescent="0.25">
      <c r="A16" s="23">
        <f t="shared" si="0"/>
        <v>12</v>
      </c>
      <c r="B16" s="19" t="s">
        <v>60</v>
      </c>
      <c r="C16" s="19" t="s">
        <v>51</v>
      </c>
      <c r="D16" s="38">
        <f t="shared" si="7"/>
        <v>0</v>
      </c>
      <c r="E16" s="39"/>
      <c r="F16" s="39"/>
      <c r="G16" s="39"/>
      <c r="H16" s="39"/>
      <c r="I16" s="39"/>
      <c r="J16" s="39"/>
      <c r="K16" s="38">
        <f t="shared" si="8"/>
        <v>0</v>
      </c>
      <c r="L16" s="39"/>
      <c r="M16" s="38">
        <f t="shared" si="1"/>
        <v>0</v>
      </c>
      <c r="N16" s="39"/>
      <c r="O16" s="39"/>
      <c r="P16" s="39"/>
      <c r="Q16" s="39"/>
      <c r="R16" s="38">
        <f t="shared" si="2"/>
        <v>0</v>
      </c>
      <c r="S16" s="39"/>
      <c r="T16" s="38">
        <f t="shared" si="3"/>
        <v>0</v>
      </c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8">
        <f t="shared" si="9"/>
        <v>0</v>
      </c>
      <c r="AL16" s="39"/>
      <c r="AM16" s="39"/>
      <c r="AN16" s="39"/>
      <c r="AO16" s="39"/>
      <c r="AP16" s="39"/>
      <c r="AQ16" s="38">
        <f t="shared" si="4"/>
        <v>0</v>
      </c>
      <c r="AR16" s="39"/>
      <c r="AS16" s="39"/>
      <c r="AT16" s="39"/>
      <c r="AU16" s="38">
        <f t="shared" si="5"/>
        <v>0</v>
      </c>
      <c r="AV16" s="39"/>
      <c r="AW16" s="39"/>
      <c r="AX16" s="39"/>
      <c r="AY16" s="40"/>
      <c r="AZ16" s="39"/>
      <c r="BA16" s="38">
        <f t="shared" si="6"/>
        <v>0</v>
      </c>
      <c r="BB16" s="39"/>
      <c r="BC16" s="39"/>
      <c r="BD16" s="39"/>
      <c r="BE16" s="39"/>
      <c r="BF16" s="38">
        <f t="shared" si="10"/>
        <v>0</v>
      </c>
      <c r="BG16" s="39"/>
      <c r="BH16" s="41">
        <f t="shared" si="11"/>
        <v>0</v>
      </c>
      <c r="BI16" s="42">
        <f t="shared" si="12"/>
        <v>0</v>
      </c>
      <c r="BJ16" s="43"/>
    </row>
    <row r="17" spans="1:62" s="18" customFormat="1" ht="22.95" customHeight="1" x14ac:dyDescent="0.25">
      <c r="A17" s="23">
        <f t="shared" si="0"/>
        <v>13</v>
      </c>
      <c r="B17" s="19" t="s">
        <v>61</v>
      </c>
      <c r="C17" s="19" t="s">
        <v>53</v>
      </c>
      <c r="D17" s="38">
        <f t="shared" si="7"/>
        <v>0</v>
      </c>
      <c r="E17" s="39"/>
      <c r="F17" s="39"/>
      <c r="G17" s="39"/>
      <c r="H17" s="39"/>
      <c r="I17" s="39"/>
      <c r="J17" s="39"/>
      <c r="K17" s="38">
        <f t="shared" si="8"/>
        <v>0</v>
      </c>
      <c r="L17" s="39"/>
      <c r="M17" s="38">
        <f t="shared" si="1"/>
        <v>0</v>
      </c>
      <c r="N17" s="39"/>
      <c r="O17" s="39"/>
      <c r="P17" s="39"/>
      <c r="Q17" s="39"/>
      <c r="R17" s="38">
        <f t="shared" si="2"/>
        <v>0</v>
      </c>
      <c r="S17" s="39"/>
      <c r="T17" s="38">
        <f t="shared" si="3"/>
        <v>0</v>
      </c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8">
        <f t="shared" si="9"/>
        <v>0</v>
      </c>
      <c r="AL17" s="39"/>
      <c r="AM17" s="39"/>
      <c r="AN17" s="39"/>
      <c r="AO17" s="39"/>
      <c r="AP17" s="39"/>
      <c r="AQ17" s="38">
        <f t="shared" si="4"/>
        <v>0</v>
      </c>
      <c r="AR17" s="39"/>
      <c r="AS17" s="39"/>
      <c r="AT17" s="39"/>
      <c r="AU17" s="38">
        <f t="shared" si="5"/>
        <v>0</v>
      </c>
      <c r="AV17" s="39"/>
      <c r="AW17" s="39"/>
      <c r="AX17" s="39"/>
      <c r="AY17" s="40"/>
      <c r="AZ17" s="39"/>
      <c r="BA17" s="38">
        <f t="shared" si="6"/>
        <v>0</v>
      </c>
      <c r="BB17" s="39"/>
      <c r="BC17" s="39"/>
      <c r="BD17" s="39"/>
      <c r="BE17" s="39"/>
      <c r="BF17" s="38">
        <f t="shared" si="10"/>
        <v>0</v>
      </c>
      <c r="BG17" s="39"/>
      <c r="BH17" s="41">
        <f t="shared" si="11"/>
        <v>0</v>
      </c>
      <c r="BI17" s="42">
        <f t="shared" si="12"/>
        <v>0</v>
      </c>
      <c r="BJ17" s="43"/>
    </row>
    <row r="18" spans="1:62" s="18" customFormat="1" ht="22.95" customHeight="1" x14ac:dyDescent="0.25">
      <c r="A18" s="23">
        <f t="shared" si="0"/>
        <v>14</v>
      </c>
      <c r="B18" s="19" t="s">
        <v>62</v>
      </c>
      <c r="C18" s="19" t="s">
        <v>55</v>
      </c>
      <c r="D18" s="38">
        <f t="shared" si="7"/>
        <v>0</v>
      </c>
      <c r="E18" s="39"/>
      <c r="F18" s="39"/>
      <c r="G18" s="39"/>
      <c r="H18" s="39"/>
      <c r="I18" s="39"/>
      <c r="J18" s="39"/>
      <c r="K18" s="38">
        <f t="shared" si="8"/>
        <v>0</v>
      </c>
      <c r="L18" s="39"/>
      <c r="M18" s="38">
        <f t="shared" si="1"/>
        <v>0</v>
      </c>
      <c r="N18" s="39"/>
      <c r="O18" s="39"/>
      <c r="P18" s="39"/>
      <c r="Q18" s="39"/>
      <c r="R18" s="38">
        <f t="shared" si="2"/>
        <v>0</v>
      </c>
      <c r="S18" s="39"/>
      <c r="T18" s="38">
        <f t="shared" si="3"/>
        <v>0</v>
      </c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8">
        <f t="shared" si="9"/>
        <v>0</v>
      </c>
      <c r="AL18" s="39"/>
      <c r="AM18" s="40"/>
      <c r="AN18" s="39"/>
      <c r="AO18" s="39"/>
      <c r="AP18" s="39"/>
      <c r="AQ18" s="38">
        <f t="shared" si="4"/>
        <v>0</v>
      </c>
      <c r="AR18" s="39"/>
      <c r="AS18" s="39"/>
      <c r="AT18" s="39"/>
      <c r="AU18" s="38">
        <f t="shared" si="5"/>
        <v>0</v>
      </c>
      <c r="AV18" s="39"/>
      <c r="AW18" s="39"/>
      <c r="AX18" s="39"/>
      <c r="AY18" s="40"/>
      <c r="AZ18" s="39"/>
      <c r="BA18" s="38">
        <f t="shared" si="6"/>
        <v>0</v>
      </c>
      <c r="BB18" s="39"/>
      <c r="BC18" s="39"/>
      <c r="BD18" s="39"/>
      <c r="BE18" s="39"/>
      <c r="BF18" s="38">
        <f t="shared" si="10"/>
        <v>0</v>
      </c>
      <c r="BG18" s="39"/>
      <c r="BH18" s="41">
        <f t="shared" si="11"/>
        <v>0</v>
      </c>
      <c r="BI18" s="42">
        <f t="shared" si="12"/>
        <v>0</v>
      </c>
      <c r="BJ18" s="43"/>
    </row>
    <row r="19" spans="1:62" s="18" customFormat="1" ht="22.95" customHeight="1" x14ac:dyDescent="0.25">
      <c r="A19" s="23">
        <f t="shared" si="0"/>
        <v>15</v>
      </c>
      <c r="B19" s="19" t="s">
        <v>63</v>
      </c>
      <c r="C19" s="19" t="s">
        <v>43</v>
      </c>
      <c r="D19" s="38">
        <f t="shared" si="7"/>
        <v>0</v>
      </c>
      <c r="E19" s="39"/>
      <c r="F19" s="39"/>
      <c r="G19" s="39"/>
      <c r="H19" s="39"/>
      <c r="I19" s="39"/>
      <c r="J19" s="39"/>
      <c r="K19" s="38">
        <f t="shared" si="8"/>
        <v>0</v>
      </c>
      <c r="L19" s="39"/>
      <c r="M19" s="38">
        <f t="shared" si="1"/>
        <v>0</v>
      </c>
      <c r="N19" s="39"/>
      <c r="O19" s="39"/>
      <c r="P19" s="39"/>
      <c r="Q19" s="39"/>
      <c r="R19" s="38">
        <f t="shared" si="2"/>
        <v>0</v>
      </c>
      <c r="S19" s="39"/>
      <c r="T19" s="38">
        <f t="shared" si="3"/>
        <v>0</v>
      </c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8">
        <f t="shared" si="9"/>
        <v>0</v>
      </c>
      <c r="AL19" s="39"/>
      <c r="AM19" s="39"/>
      <c r="AN19" s="39"/>
      <c r="AO19" s="39"/>
      <c r="AP19" s="39"/>
      <c r="AQ19" s="38">
        <f t="shared" si="4"/>
        <v>0</v>
      </c>
      <c r="AR19" s="39"/>
      <c r="AS19" s="39"/>
      <c r="AT19" s="39"/>
      <c r="AU19" s="38">
        <f t="shared" si="5"/>
        <v>0</v>
      </c>
      <c r="AV19" s="39"/>
      <c r="AW19" s="39"/>
      <c r="AX19" s="39"/>
      <c r="AY19" s="39"/>
      <c r="AZ19" s="39"/>
      <c r="BA19" s="38">
        <f t="shared" si="6"/>
        <v>0</v>
      </c>
      <c r="BB19" s="39"/>
      <c r="BC19" s="39"/>
      <c r="BD19" s="39"/>
      <c r="BE19" s="39"/>
      <c r="BF19" s="38">
        <f t="shared" si="10"/>
        <v>0</v>
      </c>
      <c r="BG19" s="39"/>
      <c r="BH19" s="41">
        <f t="shared" si="11"/>
        <v>0</v>
      </c>
      <c r="BI19" s="42">
        <f t="shared" si="12"/>
        <v>0</v>
      </c>
      <c r="BJ19" s="43"/>
    </row>
    <row r="20" spans="1:62" s="18" customFormat="1" ht="22.95" customHeight="1" x14ac:dyDescent="0.25">
      <c r="A20" s="23">
        <f t="shared" si="0"/>
        <v>16</v>
      </c>
      <c r="B20" s="19" t="s">
        <v>64</v>
      </c>
      <c r="C20" s="19" t="s">
        <v>45</v>
      </c>
      <c r="D20" s="38">
        <f t="shared" si="7"/>
        <v>0</v>
      </c>
      <c r="E20" s="39"/>
      <c r="F20" s="39"/>
      <c r="G20" s="39"/>
      <c r="H20" s="39"/>
      <c r="I20" s="39"/>
      <c r="J20" s="39"/>
      <c r="K20" s="38">
        <f t="shared" si="8"/>
        <v>0</v>
      </c>
      <c r="L20" s="39"/>
      <c r="M20" s="38">
        <f t="shared" si="1"/>
        <v>0</v>
      </c>
      <c r="N20" s="39"/>
      <c r="O20" s="39"/>
      <c r="P20" s="39"/>
      <c r="Q20" s="39"/>
      <c r="R20" s="38">
        <f t="shared" si="2"/>
        <v>0</v>
      </c>
      <c r="S20" s="39"/>
      <c r="T20" s="38">
        <f t="shared" si="3"/>
        <v>0</v>
      </c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8">
        <f t="shared" si="9"/>
        <v>0</v>
      </c>
      <c r="AL20" s="39"/>
      <c r="AM20" s="39"/>
      <c r="AN20" s="39"/>
      <c r="AO20" s="39"/>
      <c r="AP20" s="40"/>
      <c r="AQ20" s="38">
        <f t="shared" si="4"/>
        <v>0</v>
      </c>
      <c r="AR20" s="39"/>
      <c r="AS20" s="39"/>
      <c r="AT20" s="39"/>
      <c r="AU20" s="38">
        <f t="shared" si="5"/>
        <v>0</v>
      </c>
      <c r="AV20" s="39"/>
      <c r="AW20" s="39"/>
      <c r="AX20" s="39"/>
      <c r="AY20" s="39"/>
      <c r="AZ20" s="39"/>
      <c r="BA20" s="38">
        <f t="shared" si="6"/>
        <v>0</v>
      </c>
      <c r="BB20" s="39"/>
      <c r="BC20" s="39"/>
      <c r="BD20" s="39"/>
      <c r="BE20" s="39"/>
      <c r="BF20" s="38">
        <f t="shared" si="10"/>
        <v>0</v>
      </c>
      <c r="BG20" s="39"/>
      <c r="BH20" s="41">
        <f t="shared" si="11"/>
        <v>0</v>
      </c>
      <c r="BI20" s="42">
        <f t="shared" si="12"/>
        <v>0</v>
      </c>
      <c r="BJ20" s="43"/>
    </row>
    <row r="21" spans="1:62" s="18" customFormat="1" ht="22.95" customHeight="1" x14ac:dyDescent="0.25">
      <c r="A21" s="23">
        <f t="shared" si="0"/>
        <v>17</v>
      </c>
      <c r="B21" s="19" t="s">
        <v>65</v>
      </c>
      <c r="C21" s="19" t="s">
        <v>47</v>
      </c>
      <c r="D21" s="38">
        <f t="shared" si="7"/>
        <v>0</v>
      </c>
      <c r="E21" s="39"/>
      <c r="F21" s="39"/>
      <c r="G21" s="39"/>
      <c r="H21" s="39"/>
      <c r="I21" s="39"/>
      <c r="J21" s="39"/>
      <c r="K21" s="38">
        <f t="shared" si="8"/>
        <v>0</v>
      </c>
      <c r="L21" s="39"/>
      <c r="M21" s="38">
        <f t="shared" si="1"/>
        <v>0</v>
      </c>
      <c r="N21" s="39"/>
      <c r="O21" s="39"/>
      <c r="P21" s="39"/>
      <c r="Q21" s="39"/>
      <c r="R21" s="38">
        <f t="shared" si="2"/>
        <v>0</v>
      </c>
      <c r="S21" s="39"/>
      <c r="T21" s="38">
        <f t="shared" si="3"/>
        <v>0</v>
      </c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8">
        <f t="shared" si="9"/>
        <v>0</v>
      </c>
      <c r="AL21" s="39"/>
      <c r="AM21" s="40"/>
      <c r="AN21" s="39"/>
      <c r="AO21" s="39"/>
      <c r="AP21" s="40"/>
      <c r="AQ21" s="38">
        <f t="shared" si="4"/>
        <v>0</v>
      </c>
      <c r="AR21" s="39"/>
      <c r="AS21" s="39"/>
      <c r="AT21" s="39"/>
      <c r="AU21" s="38">
        <f t="shared" si="5"/>
        <v>0</v>
      </c>
      <c r="AV21" s="39"/>
      <c r="AW21" s="39"/>
      <c r="AX21" s="39"/>
      <c r="AY21" s="40"/>
      <c r="AZ21" s="39"/>
      <c r="BA21" s="38">
        <f t="shared" si="6"/>
        <v>0</v>
      </c>
      <c r="BB21" s="39"/>
      <c r="BC21" s="39"/>
      <c r="BD21" s="39"/>
      <c r="BE21" s="39"/>
      <c r="BF21" s="38">
        <f t="shared" si="10"/>
        <v>0</v>
      </c>
      <c r="BG21" s="39"/>
      <c r="BH21" s="41">
        <f t="shared" si="11"/>
        <v>0</v>
      </c>
      <c r="BI21" s="42">
        <f t="shared" si="12"/>
        <v>0</v>
      </c>
      <c r="BJ21" s="43"/>
    </row>
    <row r="22" spans="1:62" s="18" customFormat="1" ht="22.95" customHeight="1" x14ac:dyDescent="0.25">
      <c r="A22" s="23">
        <f t="shared" si="0"/>
        <v>18</v>
      </c>
      <c r="B22" s="19" t="s">
        <v>66</v>
      </c>
      <c r="C22" s="19" t="s">
        <v>49</v>
      </c>
      <c r="D22" s="38">
        <f t="shared" si="7"/>
        <v>0</v>
      </c>
      <c r="E22" s="39"/>
      <c r="F22" s="39"/>
      <c r="G22" s="39"/>
      <c r="H22" s="39"/>
      <c r="I22" s="39"/>
      <c r="J22" s="39"/>
      <c r="K22" s="38">
        <f t="shared" si="8"/>
        <v>0</v>
      </c>
      <c r="L22" s="39"/>
      <c r="M22" s="38">
        <f t="shared" si="1"/>
        <v>0</v>
      </c>
      <c r="N22" s="39"/>
      <c r="O22" s="39"/>
      <c r="P22" s="39"/>
      <c r="Q22" s="39"/>
      <c r="R22" s="38">
        <f t="shared" si="2"/>
        <v>0</v>
      </c>
      <c r="S22" s="39"/>
      <c r="T22" s="38">
        <f t="shared" si="3"/>
        <v>0</v>
      </c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8">
        <f t="shared" si="9"/>
        <v>0</v>
      </c>
      <c r="AL22" s="39"/>
      <c r="AM22" s="39"/>
      <c r="AN22" s="40"/>
      <c r="AO22" s="39"/>
      <c r="AP22" s="40"/>
      <c r="AQ22" s="38">
        <f t="shared" si="4"/>
        <v>0</v>
      </c>
      <c r="AR22" s="39"/>
      <c r="AS22" s="39"/>
      <c r="AT22" s="39"/>
      <c r="AU22" s="38">
        <f t="shared" si="5"/>
        <v>0</v>
      </c>
      <c r="AV22" s="39"/>
      <c r="AW22" s="39"/>
      <c r="AX22" s="39"/>
      <c r="AY22" s="40"/>
      <c r="AZ22" s="40"/>
      <c r="BA22" s="38">
        <f t="shared" si="6"/>
        <v>0</v>
      </c>
      <c r="BB22" s="40"/>
      <c r="BC22" s="40"/>
      <c r="BD22" s="40"/>
      <c r="BE22" s="40"/>
      <c r="BF22" s="38">
        <f t="shared" si="10"/>
        <v>0</v>
      </c>
      <c r="BG22" s="40"/>
      <c r="BH22" s="41">
        <f t="shared" si="11"/>
        <v>0</v>
      </c>
      <c r="BI22" s="42">
        <f t="shared" si="12"/>
        <v>0</v>
      </c>
      <c r="BJ22" s="46"/>
    </row>
    <row r="23" spans="1:62" s="18" customFormat="1" ht="22.95" customHeight="1" x14ac:dyDescent="0.25">
      <c r="A23" s="23">
        <f t="shared" si="0"/>
        <v>19</v>
      </c>
      <c r="B23" s="19" t="s">
        <v>67</v>
      </c>
      <c r="C23" s="19" t="s">
        <v>51</v>
      </c>
      <c r="D23" s="38">
        <f t="shared" si="7"/>
        <v>0</v>
      </c>
      <c r="E23" s="39"/>
      <c r="F23" s="39"/>
      <c r="G23" s="39"/>
      <c r="H23" s="39"/>
      <c r="I23" s="39"/>
      <c r="J23" s="39"/>
      <c r="K23" s="38">
        <f t="shared" si="8"/>
        <v>0</v>
      </c>
      <c r="L23" s="39"/>
      <c r="M23" s="38">
        <f t="shared" si="1"/>
        <v>0</v>
      </c>
      <c r="N23" s="39"/>
      <c r="O23" s="39"/>
      <c r="P23" s="39"/>
      <c r="Q23" s="39"/>
      <c r="R23" s="38">
        <f t="shared" si="2"/>
        <v>0</v>
      </c>
      <c r="S23" s="39"/>
      <c r="T23" s="38">
        <f t="shared" si="3"/>
        <v>0</v>
      </c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8">
        <f t="shared" si="9"/>
        <v>0</v>
      </c>
      <c r="AL23" s="39"/>
      <c r="AM23" s="39"/>
      <c r="AN23" s="39"/>
      <c r="AO23" s="40"/>
      <c r="AP23" s="39"/>
      <c r="AQ23" s="38">
        <f t="shared" si="4"/>
        <v>0</v>
      </c>
      <c r="AR23" s="39"/>
      <c r="AS23" s="39"/>
      <c r="AT23" s="39"/>
      <c r="AU23" s="38">
        <f t="shared" si="5"/>
        <v>0</v>
      </c>
      <c r="AV23" s="39"/>
      <c r="AW23" s="39"/>
      <c r="AX23" s="39"/>
      <c r="AY23" s="40"/>
      <c r="AZ23" s="40"/>
      <c r="BA23" s="38">
        <f t="shared" si="6"/>
        <v>0</v>
      </c>
      <c r="BB23" s="39"/>
      <c r="BC23" s="39"/>
      <c r="BD23" s="39"/>
      <c r="BE23" s="39"/>
      <c r="BF23" s="38">
        <f t="shared" si="10"/>
        <v>0</v>
      </c>
      <c r="BG23" s="39"/>
      <c r="BH23" s="41">
        <f t="shared" si="11"/>
        <v>0</v>
      </c>
      <c r="BI23" s="42">
        <f t="shared" si="12"/>
        <v>0</v>
      </c>
      <c r="BJ23" s="44"/>
    </row>
    <row r="24" spans="1:62" s="18" customFormat="1" ht="22.95" customHeight="1" x14ac:dyDescent="0.25">
      <c r="A24" s="23">
        <f t="shared" si="0"/>
        <v>20</v>
      </c>
      <c r="B24" s="19" t="s">
        <v>68</v>
      </c>
      <c r="C24" s="19" t="s">
        <v>53</v>
      </c>
      <c r="D24" s="38">
        <f t="shared" si="7"/>
        <v>0</v>
      </c>
      <c r="E24" s="39"/>
      <c r="F24" s="39"/>
      <c r="G24" s="39"/>
      <c r="H24" s="39"/>
      <c r="I24" s="39"/>
      <c r="J24" s="39"/>
      <c r="K24" s="38">
        <f t="shared" si="8"/>
        <v>0</v>
      </c>
      <c r="L24" s="39"/>
      <c r="M24" s="38">
        <f t="shared" si="1"/>
        <v>0</v>
      </c>
      <c r="N24" s="39"/>
      <c r="O24" s="39"/>
      <c r="P24" s="39"/>
      <c r="Q24" s="39"/>
      <c r="R24" s="38">
        <f t="shared" si="2"/>
        <v>0</v>
      </c>
      <c r="S24" s="39"/>
      <c r="T24" s="38">
        <f t="shared" si="3"/>
        <v>0</v>
      </c>
      <c r="U24" s="39"/>
      <c r="V24" s="39"/>
      <c r="W24" s="39"/>
      <c r="X24" s="3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8">
        <f t="shared" si="9"/>
        <v>0</v>
      </c>
      <c r="AL24" s="39"/>
      <c r="AM24" s="39"/>
      <c r="AN24" s="39"/>
      <c r="AO24" s="39"/>
      <c r="AP24" s="40"/>
      <c r="AQ24" s="38">
        <f t="shared" si="4"/>
        <v>0</v>
      </c>
      <c r="AR24" s="39"/>
      <c r="AS24" s="39"/>
      <c r="AT24" s="39"/>
      <c r="AU24" s="38">
        <f t="shared" si="5"/>
        <v>0</v>
      </c>
      <c r="AV24" s="39"/>
      <c r="AW24" s="39"/>
      <c r="AX24" s="39"/>
      <c r="AY24" s="40"/>
      <c r="AZ24" s="39"/>
      <c r="BA24" s="38">
        <f t="shared" si="6"/>
        <v>0</v>
      </c>
      <c r="BB24" s="39"/>
      <c r="BC24" s="39"/>
      <c r="BD24" s="39"/>
      <c r="BE24" s="39"/>
      <c r="BF24" s="38">
        <f t="shared" si="10"/>
        <v>0</v>
      </c>
      <c r="BG24" s="39"/>
      <c r="BH24" s="41">
        <f t="shared" si="11"/>
        <v>0</v>
      </c>
      <c r="BI24" s="42">
        <f t="shared" si="12"/>
        <v>0</v>
      </c>
      <c r="BJ24" s="44"/>
    </row>
    <row r="25" spans="1:62" s="18" customFormat="1" ht="22.95" customHeight="1" x14ac:dyDescent="0.25">
      <c r="A25" s="23">
        <f t="shared" si="0"/>
        <v>21</v>
      </c>
      <c r="B25" s="19" t="s">
        <v>69</v>
      </c>
      <c r="C25" s="19" t="s">
        <v>55</v>
      </c>
      <c r="D25" s="38">
        <f t="shared" si="7"/>
        <v>0</v>
      </c>
      <c r="E25" s="39"/>
      <c r="F25" s="39"/>
      <c r="G25" s="39"/>
      <c r="H25" s="39"/>
      <c r="I25" s="39"/>
      <c r="J25" s="39"/>
      <c r="K25" s="38">
        <f t="shared" si="8"/>
        <v>0</v>
      </c>
      <c r="L25" s="39"/>
      <c r="M25" s="38">
        <f t="shared" si="1"/>
        <v>0</v>
      </c>
      <c r="N25" s="39"/>
      <c r="O25" s="39"/>
      <c r="P25" s="39"/>
      <c r="Q25" s="39"/>
      <c r="R25" s="38">
        <f t="shared" si="2"/>
        <v>0</v>
      </c>
      <c r="S25" s="39"/>
      <c r="T25" s="38">
        <f t="shared" si="3"/>
        <v>0</v>
      </c>
      <c r="U25" s="39"/>
      <c r="V25" s="39"/>
      <c r="W25" s="39"/>
      <c r="X25" s="39"/>
      <c r="Y25" s="39"/>
      <c r="Z25" s="39"/>
      <c r="AA25" s="39"/>
      <c r="AB25" s="39"/>
      <c r="AC25" s="39"/>
      <c r="AD25" s="39"/>
      <c r="AE25" s="39"/>
      <c r="AF25" s="39"/>
      <c r="AG25" s="39"/>
      <c r="AH25" s="39"/>
      <c r="AI25" s="39"/>
      <c r="AJ25" s="39"/>
      <c r="AK25" s="38">
        <f t="shared" si="9"/>
        <v>0</v>
      </c>
      <c r="AL25" s="39"/>
      <c r="AM25" s="39"/>
      <c r="AN25" s="39"/>
      <c r="AO25" s="39"/>
      <c r="AP25" s="39"/>
      <c r="AQ25" s="38">
        <f t="shared" si="4"/>
        <v>0</v>
      </c>
      <c r="AR25" s="39"/>
      <c r="AS25" s="39"/>
      <c r="AT25" s="39"/>
      <c r="AU25" s="38">
        <f t="shared" si="5"/>
        <v>0</v>
      </c>
      <c r="AV25" s="39"/>
      <c r="AW25" s="39"/>
      <c r="AX25" s="39"/>
      <c r="AY25" s="40"/>
      <c r="AZ25" s="39"/>
      <c r="BA25" s="38">
        <f t="shared" si="6"/>
        <v>0</v>
      </c>
      <c r="BB25" s="39"/>
      <c r="BC25" s="39"/>
      <c r="BD25" s="39"/>
      <c r="BE25" s="39"/>
      <c r="BF25" s="38">
        <f t="shared" si="10"/>
        <v>0</v>
      </c>
      <c r="BG25" s="39"/>
      <c r="BH25" s="41">
        <f t="shared" si="11"/>
        <v>0</v>
      </c>
      <c r="BI25" s="42">
        <f t="shared" si="12"/>
        <v>0</v>
      </c>
      <c r="BJ25" s="44"/>
    </row>
    <row r="26" spans="1:62" s="18" customFormat="1" ht="22.95" customHeight="1" x14ac:dyDescent="0.25">
      <c r="A26" s="23">
        <f t="shared" si="0"/>
        <v>22</v>
      </c>
      <c r="B26" s="19" t="s">
        <v>70</v>
      </c>
      <c r="C26" s="19" t="s">
        <v>43</v>
      </c>
      <c r="D26" s="38">
        <f t="shared" si="7"/>
        <v>0</v>
      </c>
      <c r="E26" s="39"/>
      <c r="F26" s="39"/>
      <c r="G26" s="39"/>
      <c r="H26" s="39"/>
      <c r="I26" s="39"/>
      <c r="J26" s="39"/>
      <c r="K26" s="38">
        <f t="shared" si="8"/>
        <v>0</v>
      </c>
      <c r="L26" s="39"/>
      <c r="M26" s="38">
        <f t="shared" si="1"/>
        <v>0</v>
      </c>
      <c r="N26" s="39"/>
      <c r="O26" s="39"/>
      <c r="P26" s="39"/>
      <c r="Q26" s="39"/>
      <c r="R26" s="38">
        <f t="shared" si="2"/>
        <v>0</v>
      </c>
      <c r="S26" s="39"/>
      <c r="T26" s="38">
        <f t="shared" si="3"/>
        <v>0</v>
      </c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8">
        <f t="shared" si="9"/>
        <v>0</v>
      </c>
      <c r="AL26" s="39"/>
      <c r="AM26" s="39"/>
      <c r="AN26" s="39"/>
      <c r="AO26" s="39"/>
      <c r="AP26" s="39"/>
      <c r="AQ26" s="38">
        <f t="shared" si="4"/>
        <v>0</v>
      </c>
      <c r="AR26" s="39"/>
      <c r="AS26" s="39"/>
      <c r="AT26" s="39"/>
      <c r="AU26" s="38">
        <f t="shared" si="5"/>
        <v>0</v>
      </c>
      <c r="AV26" s="39"/>
      <c r="AW26" s="39"/>
      <c r="AX26" s="39"/>
      <c r="AY26" s="40"/>
      <c r="AZ26" s="39"/>
      <c r="BA26" s="38">
        <f t="shared" si="6"/>
        <v>0</v>
      </c>
      <c r="BB26" s="39"/>
      <c r="BC26" s="39"/>
      <c r="BD26" s="39"/>
      <c r="BE26" s="39"/>
      <c r="BF26" s="38">
        <f t="shared" si="10"/>
        <v>0</v>
      </c>
      <c r="BG26" s="39"/>
      <c r="BH26" s="41">
        <f t="shared" si="11"/>
        <v>0</v>
      </c>
      <c r="BI26" s="42">
        <f t="shared" si="12"/>
        <v>0</v>
      </c>
      <c r="BJ26" s="44"/>
    </row>
    <row r="27" spans="1:62" s="18" customFormat="1" ht="22.95" customHeight="1" x14ac:dyDescent="0.25">
      <c r="A27" s="23">
        <f t="shared" si="0"/>
        <v>23</v>
      </c>
      <c r="B27" s="19" t="s">
        <v>71</v>
      </c>
      <c r="C27" s="19" t="s">
        <v>45</v>
      </c>
      <c r="D27" s="38">
        <f t="shared" si="7"/>
        <v>0</v>
      </c>
      <c r="E27" s="39"/>
      <c r="F27" s="39"/>
      <c r="G27" s="39"/>
      <c r="H27" s="39"/>
      <c r="I27" s="39"/>
      <c r="J27" s="39"/>
      <c r="K27" s="38">
        <f t="shared" si="8"/>
        <v>0</v>
      </c>
      <c r="L27" s="39"/>
      <c r="M27" s="38">
        <f t="shared" si="1"/>
        <v>0</v>
      </c>
      <c r="N27" s="39"/>
      <c r="O27" s="39"/>
      <c r="P27" s="39"/>
      <c r="Q27" s="39"/>
      <c r="R27" s="38">
        <f t="shared" si="2"/>
        <v>0</v>
      </c>
      <c r="S27" s="39"/>
      <c r="T27" s="38">
        <f t="shared" si="3"/>
        <v>0</v>
      </c>
      <c r="U27" s="39"/>
      <c r="V27" s="39"/>
      <c r="W27" s="39"/>
      <c r="X27" s="39"/>
      <c r="Y27" s="39"/>
      <c r="Z27" s="39"/>
      <c r="AA27" s="39"/>
      <c r="AB27" s="39"/>
      <c r="AC27" s="39"/>
      <c r="AD27" s="39"/>
      <c r="AE27" s="39"/>
      <c r="AF27" s="39"/>
      <c r="AG27" s="39"/>
      <c r="AH27" s="39"/>
      <c r="AI27" s="39"/>
      <c r="AJ27" s="39"/>
      <c r="AK27" s="38">
        <f t="shared" si="9"/>
        <v>0</v>
      </c>
      <c r="AL27" s="39"/>
      <c r="AM27" s="39"/>
      <c r="AN27" s="39"/>
      <c r="AO27" s="39"/>
      <c r="AP27" s="40"/>
      <c r="AQ27" s="38">
        <f t="shared" ref="AQ27:AQ35" si="13">AM27-AN27-AO27-AP27</f>
        <v>0</v>
      </c>
      <c r="AR27" s="39"/>
      <c r="AS27" s="39"/>
      <c r="AT27" s="39"/>
      <c r="AU27" s="38">
        <f t="shared" si="5"/>
        <v>0</v>
      </c>
      <c r="AV27" s="39"/>
      <c r="AW27" s="39"/>
      <c r="AX27" s="39"/>
      <c r="AY27" s="40"/>
      <c r="AZ27" s="39"/>
      <c r="BA27" s="38">
        <f t="shared" si="6"/>
        <v>0</v>
      </c>
      <c r="BB27" s="39"/>
      <c r="BC27" s="39"/>
      <c r="BD27" s="39"/>
      <c r="BE27" s="39"/>
      <c r="BF27" s="38">
        <f t="shared" si="10"/>
        <v>0</v>
      </c>
      <c r="BG27" s="39"/>
      <c r="BH27" s="41">
        <f t="shared" si="11"/>
        <v>0</v>
      </c>
      <c r="BI27" s="42">
        <f t="shared" si="12"/>
        <v>0</v>
      </c>
      <c r="BJ27" s="44"/>
    </row>
    <row r="28" spans="1:62" s="18" customFormat="1" ht="22.95" customHeight="1" x14ac:dyDescent="0.25">
      <c r="A28" s="23">
        <f t="shared" si="0"/>
        <v>24</v>
      </c>
      <c r="B28" s="19" t="s">
        <v>72</v>
      </c>
      <c r="C28" s="19" t="s">
        <v>47</v>
      </c>
      <c r="D28" s="38">
        <f t="shared" si="7"/>
        <v>0</v>
      </c>
      <c r="E28" s="39"/>
      <c r="F28" s="39"/>
      <c r="G28" s="39"/>
      <c r="H28" s="39"/>
      <c r="I28" s="39"/>
      <c r="J28" s="39"/>
      <c r="K28" s="38">
        <f t="shared" si="8"/>
        <v>0</v>
      </c>
      <c r="L28" s="39"/>
      <c r="M28" s="38">
        <f t="shared" si="1"/>
        <v>0</v>
      </c>
      <c r="N28" s="39"/>
      <c r="O28" s="39"/>
      <c r="P28" s="39"/>
      <c r="Q28" s="39"/>
      <c r="R28" s="38">
        <f t="shared" si="2"/>
        <v>0</v>
      </c>
      <c r="S28" s="39"/>
      <c r="T28" s="38">
        <f t="shared" si="3"/>
        <v>0</v>
      </c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8">
        <f t="shared" si="9"/>
        <v>0</v>
      </c>
      <c r="AL28" s="39"/>
      <c r="AM28" s="40"/>
      <c r="AN28" s="39"/>
      <c r="AO28" s="39"/>
      <c r="AP28" s="40"/>
      <c r="AQ28" s="38">
        <f t="shared" si="13"/>
        <v>0</v>
      </c>
      <c r="AR28" s="39"/>
      <c r="AS28" s="39"/>
      <c r="AT28" s="39"/>
      <c r="AU28" s="38">
        <f t="shared" si="5"/>
        <v>0</v>
      </c>
      <c r="AV28" s="39"/>
      <c r="AW28" s="39"/>
      <c r="AX28" s="39"/>
      <c r="AY28" s="40"/>
      <c r="AZ28" s="40"/>
      <c r="BA28" s="38">
        <f t="shared" si="6"/>
        <v>0</v>
      </c>
      <c r="BB28" s="39"/>
      <c r="BC28" s="39"/>
      <c r="BD28" s="39"/>
      <c r="BE28" s="39"/>
      <c r="BF28" s="38">
        <f t="shared" si="10"/>
        <v>0</v>
      </c>
      <c r="BG28" s="39"/>
      <c r="BH28" s="41">
        <f t="shared" si="11"/>
        <v>0</v>
      </c>
      <c r="BI28" s="42">
        <f t="shared" si="12"/>
        <v>0</v>
      </c>
      <c r="BJ28" s="44"/>
    </row>
    <row r="29" spans="1:62" s="18" customFormat="1" ht="22.95" customHeight="1" x14ac:dyDescent="0.25">
      <c r="A29" s="23">
        <f t="shared" si="0"/>
        <v>25</v>
      </c>
      <c r="B29" s="19" t="s">
        <v>73</v>
      </c>
      <c r="C29" s="19" t="s">
        <v>49</v>
      </c>
      <c r="D29" s="38">
        <f t="shared" si="7"/>
        <v>0</v>
      </c>
      <c r="E29" s="39"/>
      <c r="F29" s="39"/>
      <c r="G29" s="39"/>
      <c r="H29" s="39"/>
      <c r="I29" s="39"/>
      <c r="J29" s="39"/>
      <c r="K29" s="38">
        <f t="shared" si="8"/>
        <v>0</v>
      </c>
      <c r="L29" s="39"/>
      <c r="M29" s="38">
        <f t="shared" si="1"/>
        <v>0</v>
      </c>
      <c r="N29" s="39"/>
      <c r="O29" s="39"/>
      <c r="P29" s="39"/>
      <c r="Q29" s="39"/>
      <c r="R29" s="38">
        <f t="shared" si="2"/>
        <v>0</v>
      </c>
      <c r="S29" s="39"/>
      <c r="T29" s="38">
        <f t="shared" si="3"/>
        <v>0</v>
      </c>
      <c r="U29" s="39"/>
      <c r="V29" s="39"/>
      <c r="W29" s="39"/>
      <c r="X29" s="39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8">
        <f t="shared" si="9"/>
        <v>0</v>
      </c>
      <c r="AL29" s="39"/>
      <c r="AM29" s="40"/>
      <c r="AN29" s="40"/>
      <c r="AO29" s="39"/>
      <c r="AP29" s="39"/>
      <c r="AQ29" s="38">
        <f t="shared" si="13"/>
        <v>0</v>
      </c>
      <c r="AR29" s="39"/>
      <c r="AS29" s="39"/>
      <c r="AT29" s="39"/>
      <c r="AU29" s="38">
        <f t="shared" si="5"/>
        <v>0</v>
      </c>
      <c r="AV29" s="39"/>
      <c r="AW29" s="39"/>
      <c r="AX29" s="39"/>
      <c r="AY29" s="40"/>
      <c r="AZ29" s="39"/>
      <c r="BA29" s="38">
        <f t="shared" si="6"/>
        <v>0</v>
      </c>
      <c r="BB29" s="39"/>
      <c r="BC29" s="39"/>
      <c r="BD29" s="39"/>
      <c r="BE29" s="39"/>
      <c r="BF29" s="38">
        <f t="shared" si="10"/>
        <v>0</v>
      </c>
      <c r="BG29" s="39"/>
      <c r="BH29" s="41">
        <f t="shared" si="11"/>
        <v>0</v>
      </c>
      <c r="BI29" s="42">
        <f t="shared" si="12"/>
        <v>0</v>
      </c>
      <c r="BJ29" s="44"/>
    </row>
    <row r="30" spans="1:62" s="18" customFormat="1" ht="22.95" customHeight="1" x14ac:dyDescent="0.25">
      <c r="A30" s="23">
        <f t="shared" si="0"/>
        <v>26</v>
      </c>
      <c r="B30" s="19" t="s">
        <v>74</v>
      </c>
      <c r="C30" s="19" t="s">
        <v>51</v>
      </c>
      <c r="D30" s="38">
        <f t="shared" si="7"/>
        <v>0</v>
      </c>
      <c r="E30" s="39"/>
      <c r="F30" s="39"/>
      <c r="G30" s="39"/>
      <c r="H30" s="39"/>
      <c r="I30" s="39"/>
      <c r="J30" s="39"/>
      <c r="K30" s="38">
        <f t="shared" si="8"/>
        <v>0</v>
      </c>
      <c r="L30" s="39"/>
      <c r="M30" s="38">
        <f t="shared" si="1"/>
        <v>0</v>
      </c>
      <c r="N30" s="39"/>
      <c r="O30" s="39"/>
      <c r="P30" s="39"/>
      <c r="Q30" s="39"/>
      <c r="R30" s="38">
        <f t="shared" si="2"/>
        <v>0</v>
      </c>
      <c r="S30" s="39"/>
      <c r="T30" s="38">
        <f t="shared" si="3"/>
        <v>0</v>
      </c>
      <c r="U30" s="39"/>
      <c r="V30" s="39"/>
      <c r="W30" s="39"/>
      <c r="X30" s="39"/>
      <c r="Y30" s="39"/>
      <c r="Z30" s="39"/>
      <c r="AA30" s="39"/>
      <c r="AB30" s="39"/>
      <c r="AC30" s="39"/>
      <c r="AD30" s="39"/>
      <c r="AE30" s="39"/>
      <c r="AF30" s="39"/>
      <c r="AG30" s="39"/>
      <c r="AH30" s="39"/>
      <c r="AI30" s="39"/>
      <c r="AJ30" s="39"/>
      <c r="AK30" s="38">
        <f t="shared" si="9"/>
        <v>0</v>
      </c>
      <c r="AL30" s="39"/>
      <c r="AM30" s="39"/>
      <c r="AN30" s="39"/>
      <c r="AO30" s="39"/>
      <c r="AP30" s="39"/>
      <c r="AQ30" s="38">
        <f t="shared" si="13"/>
        <v>0</v>
      </c>
      <c r="AR30" s="39"/>
      <c r="AS30" s="39"/>
      <c r="AT30" s="39"/>
      <c r="AU30" s="38">
        <f t="shared" si="5"/>
        <v>0</v>
      </c>
      <c r="AV30" s="39"/>
      <c r="AW30" s="39"/>
      <c r="AX30" s="39"/>
      <c r="AY30" s="40"/>
      <c r="AZ30" s="39"/>
      <c r="BA30" s="38">
        <f t="shared" si="6"/>
        <v>0</v>
      </c>
      <c r="BB30" s="39"/>
      <c r="BC30" s="39"/>
      <c r="BD30" s="39"/>
      <c r="BE30" s="39"/>
      <c r="BF30" s="38">
        <f t="shared" si="10"/>
        <v>0</v>
      </c>
      <c r="BG30" s="39"/>
      <c r="BH30" s="41">
        <f t="shared" si="11"/>
        <v>0</v>
      </c>
      <c r="BI30" s="42">
        <f t="shared" si="12"/>
        <v>0</v>
      </c>
      <c r="BJ30" s="44"/>
    </row>
    <row r="31" spans="1:62" s="18" customFormat="1" ht="22.95" customHeight="1" x14ac:dyDescent="0.25">
      <c r="A31" s="23">
        <f t="shared" si="0"/>
        <v>27</v>
      </c>
      <c r="B31" s="19" t="s">
        <v>75</v>
      </c>
      <c r="C31" s="19" t="s">
        <v>53</v>
      </c>
      <c r="D31" s="38">
        <f t="shared" si="7"/>
        <v>0</v>
      </c>
      <c r="E31" s="39"/>
      <c r="F31" s="39"/>
      <c r="G31" s="39"/>
      <c r="H31" s="39"/>
      <c r="I31" s="39"/>
      <c r="J31" s="39"/>
      <c r="K31" s="38">
        <f t="shared" si="8"/>
        <v>0</v>
      </c>
      <c r="L31" s="39"/>
      <c r="M31" s="38">
        <f t="shared" si="1"/>
        <v>0</v>
      </c>
      <c r="N31" s="39"/>
      <c r="O31" s="39"/>
      <c r="P31" s="39"/>
      <c r="Q31" s="39"/>
      <c r="R31" s="38">
        <f t="shared" si="2"/>
        <v>0</v>
      </c>
      <c r="S31" s="39"/>
      <c r="T31" s="38">
        <f t="shared" si="3"/>
        <v>0</v>
      </c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8">
        <f t="shared" si="9"/>
        <v>0</v>
      </c>
      <c r="AL31" s="39"/>
      <c r="AM31" s="39"/>
      <c r="AN31" s="39"/>
      <c r="AO31" s="39"/>
      <c r="AP31" s="39"/>
      <c r="AQ31" s="38">
        <f t="shared" si="13"/>
        <v>0</v>
      </c>
      <c r="AR31" s="39"/>
      <c r="AS31" s="39"/>
      <c r="AT31" s="39"/>
      <c r="AU31" s="38">
        <f t="shared" si="5"/>
        <v>0</v>
      </c>
      <c r="AV31" s="39"/>
      <c r="AW31" s="39"/>
      <c r="AX31" s="39"/>
      <c r="AY31" s="40"/>
      <c r="AZ31" s="40"/>
      <c r="BA31" s="38">
        <f t="shared" si="6"/>
        <v>0</v>
      </c>
      <c r="BB31" s="39"/>
      <c r="BC31" s="39"/>
      <c r="BD31" s="39"/>
      <c r="BE31" s="39"/>
      <c r="BF31" s="38">
        <f t="shared" si="10"/>
        <v>0</v>
      </c>
      <c r="BG31" s="39"/>
      <c r="BH31" s="41">
        <f t="shared" si="11"/>
        <v>0</v>
      </c>
      <c r="BI31" s="42">
        <f t="shared" si="12"/>
        <v>0</v>
      </c>
      <c r="BJ31" s="44"/>
    </row>
    <row r="32" spans="1:62" s="18" customFormat="1" ht="22.95" customHeight="1" x14ac:dyDescent="0.25">
      <c r="A32" s="23">
        <f t="shared" si="0"/>
        <v>28</v>
      </c>
      <c r="B32" s="19" t="s">
        <v>76</v>
      </c>
      <c r="C32" s="19" t="s">
        <v>55</v>
      </c>
      <c r="D32" s="38">
        <f t="shared" si="7"/>
        <v>0</v>
      </c>
      <c r="E32" s="39"/>
      <c r="F32" s="39"/>
      <c r="G32" s="39"/>
      <c r="H32" s="39"/>
      <c r="I32" s="39"/>
      <c r="J32" s="39"/>
      <c r="K32" s="38">
        <f t="shared" si="8"/>
        <v>0</v>
      </c>
      <c r="L32" s="39"/>
      <c r="M32" s="38">
        <f t="shared" si="1"/>
        <v>0</v>
      </c>
      <c r="N32" s="39"/>
      <c r="O32" s="39"/>
      <c r="P32" s="39"/>
      <c r="Q32" s="39"/>
      <c r="R32" s="38">
        <f t="shared" si="2"/>
        <v>0</v>
      </c>
      <c r="S32" s="39"/>
      <c r="T32" s="38">
        <f t="shared" si="3"/>
        <v>0</v>
      </c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8">
        <f t="shared" si="9"/>
        <v>0</v>
      </c>
      <c r="AL32" s="39"/>
      <c r="AM32" s="40"/>
      <c r="AN32" s="39"/>
      <c r="AO32" s="39"/>
      <c r="AP32" s="39"/>
      <c r="AQ32" s="38">
        <f t="shared" si="13"/>
        <v>0</v>
      </c>
      <c r="AR32" s="39"/>
      <c r="AS32" s="39"/>
      <c r="AT32" s="39"/>
      <c r="AU32" s="38">
        <f t="shared" si="5"/>
        <v>0</v>
      </c>
      <c r="AV32" s="39"/>
      <c r="AW32" s="39"/>
      <c r="AX32" s="39"/>
      <c r="AY32" s="40"/>
      <c r="AZ32" s="39"/>
      <c r="BA32" s="38">
        <f t="shared" si="6"/>
        <v>0</v>
      </c>
      <c r="BB32" s="39"/>
      <c r="BC32" s="39"/>
      <c r="BD32" s="39"/>
      <c r="BE32" s="39"/>
      <c r="BF32" s="38">
        <f t="shared" si="10"/>
        <v>0</v>
      </c>
      <c r="BG32" s="39"/>
      <c r="BH32" s="41">
        <f t="shared" si="11"/>
        <v>0</v>
      </c>
      <c r="BI32" s="42">
        <f t="shared" si="12"/>
        <v>0</v>
      </c>
      <c r="BJ32" s="43"/>
    </row>
    <row r="33" spans="1:62" s="18" customFormat="1" ht="22.95" customHeight="1" x14ac:dyDescent="0.25">
      <c r="A33" s="23">
        <f t="shared" si="0"/>
        <v>29</v>
      </c>
      <c r="B33" s="19" t="s">
        <v>77</v>
      </c>
      <c r="C33" s="19" t="s">
        <v>43</v>
      </c>
      <c r="D33" s="38">
        <f t="shared" si="7"/>
        <v>0</v>
      </c>
      <c r="E33" s="39"/>
      <c r="F33" s="39"/>
      <c r="G33" s="39"/>
      <c r="H33" s="39"/>
      <c r="I33" s="39"/>
      <c r="J33" s="39"/>
      <c r="K33" s="38">
        <f t="shared" si="8"/>
        <v>0</v>
      </c>
      <c r="L33" s="39"/>
      <c r="M33" s="38">
        <f t="shared" si="1"/>
        <v>0</v>
      </c>
      <c r="N33" s="39"/>
      <c r="O33" s="39"/>
      <c r="P33" s="39"/>
      <c r="Q33" s="39"/>
      <c r="R33" s="38">
        <f t="shared" si="2"/>
        <v>0</v>
      </c>
      <c r="S33" s="39"/>
      <c r="T33" s="38">
        <f t="shared" si="3"/>
        <v>0</v>
      </c>
      <c r="U33" s="39"/>
      <c r="V33" s="39"/>
      <c r="W33" s="39"/>
      <c r="X33" s="39"/>
      <c r="Y33" s="39"/>
      <c r="Z33" s="39"/>
      <c r="AA33" s="39"/>
      <c r="AB33" s="39"/>
      <c r="AC33" s="39"/>
      <c r="AD33" s="39"/>
      <c r="AE33" s="39"/>
      <c r="AF33" s="39"/>
      <c r="AG33" s="39"/>
      <c r="AH33" s="39"/>
      <c r="AI33" s="39"/>
      <c r="AJ33" s="39"/>
      <c r="AK33" s="38">
        <f t="shared" si="9"/>
        <v>0</v>
      </c>
      <c r="AL33" s="39"/>
      <c r="AM33" s="40"/>
      <c r="AN33" s="39"/>
      <c r="AO33" s="39"/>
      <c r="AP33" s="39"/>
      <c r="AQ33" s="38">
        <f t="shared" si="13"/>
        <v>0</v>
      </c>
      <c r="AR33" s="39"/>
      <c r="AS33" s="39"/>
      <c r="AT33" s="39"/>
      <c r="AU33" s="38">
        <f t="shared" si="5"/>
        <v>0</v>
      </c>
      <c r="AV33" s="39"/>
      <c r="AW33" s="39"/>
      <c r="AX33" s="39"/>
      <c r="AY33" s="40"/>
      <c r="AZ33" s="39"/>
      <c r="BA33" s="38">
        <f t="shared" si="6"/>
        <v>0</v>
      </c>
      <c r="BB33" s="39"/>
      <c r="BC33" s="39"/>
      <c r="BD33" s="39"/>
      <c r="BE33" s="39"/>
      <c r="BF33" s="38">
        <f t="shared" si="10"/>
        <v>0</v>
      </c>
      <c r="BG33" s="39"/>
      <c r="BH33" s="41">
        <f t="shared" si="11"/>
        <v>0</v>
      </c>
      <c r="BI33" s="42">
        <f t="shared" si="12"/>
        <v>0</v>
      </c>
      <c r="BJ33" s="43"/>
    </row>
    <row r="34" spans="1:62" s="18" customFormat="1" ht="22.95" customHeight="1" x14ac:dyDescent="0.25">
      <c r="A34" s="23">
        <f t="shared" si="0"/>
        <v>30</v>
      </c>
      <c r="B34" s="19" t="s">
        <v>78</v>
      </c>
      <c r="C34" s="19" t="s">
        <v>45</v>
      </c>
      <c r="D34" s="38">
        <f t="shared" si="7"/>
        <v>0</v>
      </c>
      <c r="E34" s="39"/>
      <c r="F34" s="39"/>
      <c r="G34" s="39"/>
      <c r="H34" s="39"/>
      <c r="I34" s="39"/>
      <c r="J34" s="39"/>
      <c r="K34" s="38">
        <f t="shared" si="8"/>
        <v>0</v>
      </c>
      <c r="L34" s="39"/>
      <c r="M34" s="38">
        <f t="shared" si="1"/>
        <v>0</v>
      </c>
      <c r="N34" s="39"/>
      <c r="O34" s="39"/>
      <c r="P34" s="39"/>
      <c r="Q34" s="39"/>
      <c r="R34" s="38">
        <f t="shared" si="2"/>
        <v>0</v>
      </c>
      <c r="S34" s="39"/>
      <c r="T34" s="38">
        <f t="shared" si="3"/>
        <v>0</v>
      </c>
      <c r="U34" s="39"/>
      <c r="V34" s="39"/>
      <c r="W34" s="39"/>
      <c r="X34" s="39"/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8">
        <f t="shared" si="9"/>
        <v>0</v>
      </c>
      <c r="AL34" s="39"/>
      <c r="AM34" s="40"/>
      <c r="AN34" s="39"/>
      <c r="AO34" s="39"/>
      <c r="AP34" s="39"/>
      <c r="AQ34" s="38">
        <f t="shared" si="13"/>
        <v>0</v>
      </c>
      <c r="AR34" s="39"/>
      <c r="AS34" s="39"/>
      <c r="AT34" s="39"/>
      <c r="AU34" s="38">
        <f t="shared" si="5"/>
        <v>0</v>
      </c>
      <c r="AV34" s="39"/>
      <c r="AW34" s="39"/>
      <c r="AX34" s="39"/>
      <c r="AY34" s="40"/>
      <c r="AZ34" s="39"/>
      <c r="BA34" s="38">
        <f t="shared" si="6"/>
        <v>0</v>
      </c>
      <c r="BB34" s="39"/>
      <c r="BC34" s="39"/>
      <c r="BD34" s="39"/>
      <c r="BE34" s="39"/>
      <c r="BF34" s="38">
        <f t="shared" si="10"/>
        <v>0</v>
      </c>
      <c r="BG34" s="39"/>
      <c r="BH34" s="41">
        <f t="shared" si="11"/>
        <v>0</v>
      </c>
      <c r="BI34" s="42">
        <f t="shared" si="12"/>
        <v>0</v>
      </c>
      <c r="BJ34" s="43"/>
    </row>
    <row r="35" spans="1:62" s="18" customFormat="1" ht="22.95" customHeight="1" x14ac:dyDescent="0.25">
      <c r="A35" s="23">
        <f t="shared" si="0"/>
        <v>31</v>
      </c>
      <c r="B35" s="19"/>
      <c r="C35" s="19"/>
      <c r="D35" s="38">
        <f t="shared" si="7"/>
        <v>0</v>
      </c>
      <c r="E35" s="39"/>
      <c r="F35" s="39"/>
      <c r="G35" s="39"/>
      <c r="H35" s="39"/>
      <c r="I35" s="39"/>
      <c r="J35" s="39"/>
      <c r="K35" s="38">
        <f t="shared" si="8"/>
        <v>0</v>
      </c>
      <c r="L35" s="39"/>
      <c r="M35" s="38">
        <f t="shared" si="1"/>
        <v>0</v>
      </c>
      <c r="N35" s="39"/>
      <c r="O35" s="39"/>
      <c r="P35" s="39"/>
      <c r="Q35" s="39"/>
      <c r="R35" s="38">
        <f t="shared" si="2"/>
        <v>0</v>
      </c>
      <c r="S35" s="39"/>
      <c r="T35" s="38">
        <f t="shared" si="3"/>
        <v>0</v>
      </c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8">
        <f t="shared" si="9"/>
        <v>0</v>
      </c>
      <c r="AL35" s="39"/>
      <c r="AM35" s="40"/>
      <c r="AN35" s="39"/>
      <c r="AO35" s="39"/>
      <c r="AP35" s="39"/>
      <c r="AQ35" s="38">
        <f t="shared" si="13"/>
        <v>0</v>
      </c>
      <c r="AR35" s="39"/>
      <c r="AS35" s="39"/>
      <c r="AT35" s="39"/>
      <c r="AU35" s="38">
        <f t="shared" si="5"/>
        <v>0</v>
      </c>
      <c r="AV35" s="39"/>
      <c r="AW35" s="39"/>
      <c r="AX35" s="39"/>
      <c r="AY35" s="40"/>
      <c r="AZ35" s="39"/>
      <c r="BA35" s="38">
        <f t="shared" si="6"/>
        <v>0</v>
      </c>
      <c r="BB35" s="39"/>
      <c r="BC35" s="39"/>
      <c r="BD35" s="39"/>
      <c r="BE35" s="39"/>
      <c r="BF35" s="38">
        <f t="shared" si="10"/>
        <v>0</v>
      </c>
      <c r="BG35" s="39"/>
      <c r="BH35" s="41">
        <f t="shared" si="11"/>
        <v>0</v>
      </c>
      <c r="BI35" s="42">
        <f t="shared" si="12"/>
        <v>0</v>
      </c>
      <c r="BJ35" s="43"/>
    </row>
    <row r="36" spans="1:62" s="18" customFormat="1" ht="22.95" customHeight="1" x14ac:dyDescent="0.25">
      <c r="A36" s="23">
        <f t="shared" si="0"/>
        <v>32</v>
      </c>
      <c r="B36" s="23" t="s">
        <v>79</v>
      </c>
      <c r="C36" s="36"/>
      <c r="D36" s="47">
        <f t="shared" ref="D36:BI36" si="14">SUM(D5:D35)</f>
        <v>0</v>
      </c>
      <c r="E36" s="47">
        <f t="shared" si="14"/>
        <v>0</v>
      </c>
      <c r="F36" s="47">
        <f t="shared" si="14"/>
        <v>0</v>
      </c>
      <c r="G36" s="47">
        <f t="shared" si="14"/>
        <v>0</v>
      </c>
      <c r="H36" s="47">
        <f t="shared" si="14"/>
        <v>0</v>
      </c>
      <c r="I36" s="47">
        <f t="shared" si="14"/>
        <v>0</v>
      </c>
      <c r="J36" s="47">
        <f t="shared" si="14"/>
        <v>0</v>
      </c>
      <c r="K36" s="47">
        <f t="shared" si="14"/>
        <v>0</v>
      </c>
      <c r="L36" s="47">
        <f t="shared" si="14"/>
        <v>0</v>
      </c>
      <c r="M36" s="47">
        <f t="shared" si="14"/>
        <v>0</v>
      </c>
      <c r="N36" s="47">
        <f t="shared" si="14"/>
        <v>0</v>
      </c>
      <c r="O36" s="47">
        <f t="shared" si="14"/>
        <v>0</v>
      </c>
      <c r="P36" s="47">
        <f t="shared" si="14"/>
        <v>0</v>
      </c>
      <c r="Q36" s="47">
        <f t="shared" si="14"/>
        <v>0</v>
      </c>
      <c r="R36" s="47">
        <f t="shared" si="14"/>
        <v>0</v>
      </c>
      <c r="S36" s="47">
        <f t="shared" si="14"/>
        <v>0</v>
      </c>
      <c r="T36" s="47">
        <f t="shared" si="14"/>
        <v>0</v>
      </c>
      <c r="U36" s="47">
        <f t="shared" si="14"/>
        <v>0</v>
      </c>
      <c r="V36" s="47">
        <f t="shared" si="14"/>
        <v>0</v>
      </c>
      <c r="W36" s="47">
        <f t="shared" si="14"/>
        <v>0</v>
      </c>
      <c r="X36" s="47">
        <f t="shared" si="14"/>
        <v>0</v>
      </c>
      <c r="Y36" s="47">
        <f t="shared" si="14"/>
        <v>0</v>
      </c>
      <c r="Z36" s="47">
        <f t="shared" si="14"/>
        <v>0</v>
      </c>
      <c r="AA36" s="47">
        <f t="shared" si="14"/>
        <v>0</v>
      </c>
      <c r="AB36" s="47">
        <f t="shared" si="14"/>
        <v>0</v>
      </c>
      <c r="AC36" s="47">
        <f t="shared" si="14"/>
        <v>0</v>
      </c>
      <c r="AD36" s="47">
        <f t="shared" si="14"/>
        <v>0</v>
      </c>
      <c r="AE36" s="47">
        <f t="shared" si="14"/>
        <v>0</v>
      </c>
      <c r="AF36" s="47">
        <f t="shared" si="14"/>
        <v>0</v>
      </c>
      <c r="AG36" s="47">
        <f t="shared" si="14"/>
        <v>0</v>
      </c>
      <c r="AH36" s="47">
        <f t="shared" si="14"/>
        <v>0</v>
      </c>
      <c r="AI36" s="47">
        <f t="shared" si="14"/>
        <v>0</v>
      </c>
      <c r="AJ36" s="47">
        <f t="shared" si="14"/>
        <v>0</v>
      </c>
      <c r="AK36" s="47">
        <f t="shared" si="14"/>
        <v>0</v>
      </c>
      <c r="AL36" s="47">
        <f t="shared" si="14"/>
        <v>0</v>
      </c>
      <c r="AM36" s="47">
        <f t="shared" si="14"/>
        <v>0</v>
      </c>
      <c r="AN36" s="47">
        <f t="shared" si="14"/>
        <v>0</v>
      </c>
      <c r="AO36" s="47">
        <f t="shared" si="14"/>
        <v>0</v>
      </c>
      <c r="AP36" s="47">
        <f t="shared" si="14"/>
        <v>0</v>
      </c>
      <c r="AQ36" s="47">
        <f t="shared" si="14"/>
        <v>0</v>
      </c>
      <c r="AR36" s="47">
        <f t="shared" si="14"/>
        <v>0</v>
      </c>
      <c r="AS36" s="47">
        <f t="shared" si="14"/>
        <v>0</v>
      </c>
      <c r="AT36" s="47">
        <f t="shared" si="14"/>
        <v>0</v>
      </c>
      <c r="AU36" s="47">
        <f t="shared" si="14"/>
        <v>0</v>
      </c>
      <c r="AV36" s="47">
        <f t="shared" si="14"/>
        <v>0</v>
      </c>
      <c r="AW36" s="47">
        <f t="shared" si="14"/>
        <v>0</v>
      </c>
      <c r="AX36" s="47">
        <f t="shared" si="14"/>
        <v>0</v>
      </c>
      <c r="AY36" s="47">
        <f t="shared" si="14"/>
        <v>0</v>
      </c>
      <c r="AZ36" s="47">
        <f t="shared" si="14"/>
        <v>0</v>
      </c>
      <c r="BA36" s="47">
        <f t="shared" si="14"/>
        <v>0</v>
      </c>
      <c r="BB36" s="47">
        <f t="shared" si="14"/>
        <v>0</v>
      </c>
      <c r="BC36" s="47">
        <f t="shared" si="14"/>
        <v>0</v>
      </c>
      <c r="BD36" s="47">
        <f t="shared" si="14"/>
        <v>0</v>
      </c>
      <c r="BE36" s="47">
        <f t="shared" si="14"/>
        <v>0</v>
      </c>
      <c r="BF36" s="47">
        <f t="shared" si="14"/>
        <v>0</v>
      </c>
      <c r="BG36" s="47">
        <f t="shared" si="14"/>
        <v>0</v>
      </c>
      <c r="BH36" s="47">
        <f t="shared" si="14"/>
        <v>0</v>
      </c>
      <c r="BI36" s="47">
        <f t="shared" si="14"/>
        <v>0</v>
      </c>
      <c r="BJ36" s="43"/>
    </row>
    <row r="37" spans="1:62" x14ac:dyDescent="0.2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1"/>
      <c r="M37" s="21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0"/>
    </row>
    <row r="38" spans="1:62" x14ac:dyDescent="0.2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1"/>
      <c r="M38" s="21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1"/>
      <c r="BI38" s="21"/>
      <c r="BJ38" s="20"/>
    </row>
    <row r="39" spans="1:62" x14ac:dyDescent="0.2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1"/>
      <c r="M39" s="21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1"/>
      <c r="BI39" s="21"/>
      <c r="BJ39" s="20"/>
    </row>
    <row r="40" spans="1:62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1"/>
      <c r="M40" s="21"/>
      <c r="N40" s="20"/>
      <c r="O40" s="20"/>
      <c r="P40" s="20"/>
      <c r="Q40" s="20"/>
      <c r="R40" s="20"/>
      <c r="T40" s="22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0"/>
    </row>
    <row r="41" spans="1:62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1"/>
      <c r="M41" s="21"/>
      <c r="N41" s="20"/>
      <c r="O41" s="20"/>
      <c r="P41" s="20"/>
      <c r="Q41" s="20"/>
      <c r="R41" s="20"/>
      <c r="T41" s="22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0"/>
    </row>
    <row r="42" spans="1:62" x14ac:dyDescent="0.25">
      <c r="A42" s="20"/>
      <c r="B42" s="20"/>
      <c r="C42" s="20"/>
      <c r="D42" s="20"/>
      <c r="E42" s="20"/>
      <c r="F42" s="20"/>
      <c r="G42" s="20"/>
      <c r="H42" s="20"/>
      <c r="J42" s="20"/>
      <c r="K42" s="20"/>
      <c r="L42" s="21"/>
      <c r="M42" s="21"/>
      <c r="N42" s="20"/>
      <c r="O42" s="20"/>
      <c r="P42" s="20"/>
      <c r="Q42" s="20"/>
      <c r="R42" s="20"/>
      <c r="T42" s="22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0"/>
    </row>
    <row r="43" spans="1:62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1"/>
      <c r="M43" s="21"/>
      <c r="N43" s="20"/>
      <c r="O43" s="20"/>
      <c r="P43" s="20"/>
      <c r="Q43" s="20"/>
      <c r="R43" s="20"/>
      <c r="T43" s="22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0"/>
    </row>
    <row r="44" spans="1:62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1"/>
      <c r="M44" s="21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0"/>
    </row>
    <row r="45" spans="1:62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1"/>
      <c r="M45" s="21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0"/>
    </row>
    <row r="46" spans="1:62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1"/>
      <c r="M46" s="21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0"/>
    </row>
    <row r="47" spans="1:62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1"/>
      <c r="M47" s="21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0"/>
    </row>
    <row r="48" spans="1:62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1"/>
      <c r="M48" s="21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0"/>
    </row>
    <row r="49" spans="1:62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1"/>
      <c r="M49" s="21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0"/>
    </row>
    <row r="50" spans="1:62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1"/>
      <c r="M50" s="21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0"/>
    </row>
    <row r="51" spans="1:62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1"/>
      <c r="M51" s="21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0"/>
    </row>
    <row r="52" spans="1:62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1"/>
      <c r="M52" s="21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0"/>
    </row>
    <row r="53" spans="1:62" x14ac:dyDescent="0.25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1"/>
      <c r="M53" s="21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0"/>
    </row>
    <row r="54" spans="1:62" x14ac:dyDescent="0.25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1"/>
      <c r="M54" s="21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0"/>
    </row>
    <row r="55" spans="1:62" x14ac:dyDescent="0.25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1"/>
      <c r="M55" s="21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0"/>
    </row>
    <row r="56" spans="1:62" x14ac:dyDescent="0.25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1"/>
      <c r="M56" s="21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0"/>
    </row>
    <row r="57" spans="1:62" x14ac:dyDescent="0.25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1"/>
      <c r="M57" s="21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0"/>
    </row>
    <row r="58" spans="1:62" x14ac:dyDescent="0.25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1"/>
      <c r="M58" s="21"/>
      <c r="N58" s="21"/>
      <c r="O58" s="21"/>
      <c r="P58" s="21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0"/>
    </row>
    <row r="59" spans="1:62" x14ac:dyDescent="0.25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1"/>
      <c r="M59" s="21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0"/>
    </row>
    <row r="60" spans="1:62" x14ac:dyDescent="0.25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1"/>
      <c r="M60" s="21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0"/>
    </row>
    <row r="61" spans="1:62" x14ac:dyDescent="0.25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1"/>
      <c r="M61" s="21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0"/>
    </row>
    <row r="62" spans="1:62" x14ac:dyDescent="0.25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1"/>
      <c r="M62" s="21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0"/>
    </row>
    <row r="63" spans="1:62" x14ac:dyDescent="0.25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1"/>
      <c r="M63" s="21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0"/>
    </row>
    <row r="64" spans="1:62" x14ac:dyDescent="0.25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1"/>
      <c r="M64" s="21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0"/>
    </row>
    <row r="65" spans="1:62" x14ac:dyDescent="0.25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1"/>
      <c r="M65" s="21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/>
      <c r="BG65" s="20"/>
      <c r="BH65" s="21"/>
      <c r="BI65" s="21"/>
      <c r="BJ65" s="20"/>
    </row>
    <row r="66" spans="1:62" x14ac:dyDescent="0.25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1"/>
      <c r="M66" s="21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/>
      <c r="BG66" s="20"/>
      <c r="BH66" s="21"/>
      <c r="BI66" s="21"/>
      <c r="BJ66" s="20"/>
    </row>
    <row r="67" spans="1:62" x14ac:dyDescent="0.25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1"/>
      <c r="M67" s="21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/>
      <c r="BG67" s="20"/>
      <c r="BH67" s="21"/>
      <c r="BI67" s="21"/>
      <c r="BJ67" s="20"/>
    </row>
    <row r="68" spans="1:62" x14ac:dyDescent="0.25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1"/>
      <c r="M68" s="21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/>
      <c r="BG68" s="20"/>
      <c r="BH68" s="21"/>
      <c r="BI68" s="21"/>
      <c r="BJ68" s="20"/>
    </row>
    <row r="69" spans="1:62" x14ac:dyDescent="0.25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1"/>
      <c r="M69" s="21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/>
      <c r="BG69" s="20"/>
      <c r="BH69" s="21"/>
      <c r="BI69" s="21"/>
      <c r="BJ69" s="20"/>
    </row>
    <row r="70" spans="1:62" x14ac:dyDescent="0.25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1"/>
      <c r="M70" s="21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/>
      <c r="BG70" s="20"/>
      <c r="BH70" s="21"/>
      <c r="BI70" s="21"/>
      <c r="BJ70" s="20"/>
    </row>
    <row r="71" spans="1:62" x14ac:dyDescent="0.25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1"/>
      <c r="M71" s="21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/>
      <c r="BG71" s="20"/>
      <c r="BH71" s="21"/>
      <c r="BI71" s="21"/>
      <c r="BJ71" s="20"/>
    </row>
    <row r="72" spans="1:62" x14ac:dyDescent="0.25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1"/>
      <c r="M72" s="21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1"/>
      <c r="BI72" s="21"/>
      <c r="BJ72" s="20"/>
    </row>
    <row r="73" spans="1:62" x14ac:dyDescent="0.25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1"/>
      <c r="M73" s="21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1"/>
      <c r="BI73" s="21"/>
      <c r="BJ73" s="20"/>
    </row>
    <row r="74" spans="1:62" x14ac:dyDescent="0.25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1"/>
      <c r="M74" s="21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1"/>
      <c r="BI74" s="21"/>
      <c r="BJ74" s="20"/>
    </row>
    <row r="75" spans="1:62" x14ac:dyDescent="0.25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1"/>
      <c r="M75" s="21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1"/>
      <c r="BI75" s="21"/>
      <c r="BJ75" s="20"/>
    </row>
    <row r="76" spans="1:62" x14ac:dyDescent="0.25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1"/>
      <c r="M76" s="21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/>
      <c r="BG76" s="20"/>
      <c r="BH76" s="21"/>
      <c r="BI76" s="21"/>
      <c r="BJ76" s="20"/>
    </row>
    <row r="77" spans="1:62" x14ac:dyDescent="0.25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1"/>
      <c r="M77" s="21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/>
      <c r="BG77" s="20"/>
      <c r="BH77" s="21"/>
      <c r="BI77" s="21"/>
      <c r="BJ77" s="20"/>
    </row>
    <row r="78" spans="1:62" x14ac:dyDescent="0.25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1"/>
      <c r="M78" s="21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/>
      <c r="BG78" s="20"/>
      <c r="BH78" s="21"/>
      <c r="BI78" s="21"/>
      <c r="BJ78" s="20"/>
    </row>
    <row r="79" spans="1:62" x14ac:dyDescent="0.25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1"/>
      <c r="M79" s="21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/>
      <c r="BG79" s="20"/>
      <c r="BH79" s="21"/>
      <c r="BI79" s="21"/>
      <c r="BJ79" s="20"/>
    </row>
    <row r="80" spans="1:62" x14ac:dyDescent="0.25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1"/>
      <c r="M80" s="21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/>
      <c r="BG80" s="20"/>
      <c r="BH80" s="21"/>
      <c r="BI80" s="21"/>
      <c r="BJ80" s="20"/>
    </row>
    <row r="81" spans="1:62" x14ac:dyDescent="0.25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1"/>
      <c r="M81" s="21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/>
      <c r="BG81" s="20"/>
      <c r="BH81" s="21"/>
      <c r="BI81" s="21"/>
      <c r="BJ81" s="20"/>
    </row>
    <row r="82" spans="1:62" x14ac:dyDescent="0.25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1"/>
      <c r="M82" s="21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/>
      <c r="BG82" s="20"/>
      <c r="BH82" s="21"/>
      <c r="BI82" s="21"/>
      <c r="BJ82" s="20"/>
    </row>
    <row r="83" spans="1:62" x14ac:dyDescent="0.25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1"/>
      <c r="M83" s="21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/>
      <c r="BG83" s="20"/>
      <c r="BH83" s="21"/>
      <c r="BI83" s="21"/>
      <c r="BJ83" s="20"/>
    </row>
    <row r="84" spans="1:62" x14ac:dyDescent="0.25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1"/>
      <c r="M84" s="21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/>
      <c r="BG84" s="20"/>
      <c r="BH84" s="21"/>
      <c r="BI84" s="21"/>
      <c r="BJ84" s="20"/>
    </row>
    <row r="85" spans="1:62" x14ac:dyDescent="0.25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1"/>
      <c r="M85" s="21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/>
      <c r="BG85" s="20"/>
      <c r="BH85" s="21"/>
      <c r="BI85" s="21"/>
      <c r="BJ85" s="20"/>
    </row>
    <row r="86" spans="1:62" x14ac:dyDescent="0.25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1"/>
      <c r="M86" s="21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/>
      <c r="BG86" s="20"/>
      <c r="BH86" s="21"/>
      <c r="BI86" s="21"/>
      <c r="BJ86" s="20"/>
    </row>
    <row r="87" spans="1:62" x14ac:dyDescent="0.25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1"/>
      <c r="M87" s="21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/>
      <c r="BG87" s="20"/>
      <c r="BH87" s="21"/>
      <c r="BI87" s="21"/>
      <c r="BJ87" s="20"/>
    </row>
    <row r="88" spans="1:62" x14ac:dyDescent="0.25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1"/>
      <c r="M88" s="21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/>
      <c r="BG88" s="20"/>
      <c r="BH88" s="21"/>
      <c r="BI88" s="21"/>
      <c r="BJ88" s="20"/>
    </row>
    <row r="89" spans="1:62" x14ac:dyDescent="0.25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1"/>
      <c r="M89" s="21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1"/>
      <c r="BI89" s="21"/>
      <c r="BJ89" s="20"/>
    </row>
    <row r="90" spans="1:62" x14ac:dyDescent="0.25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1"/>
      <c r="M90" s="21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/>
      <c r="BG90" s="20"/>
      <c r="BH90" s="21"/>
      <c r="BI90" s="21"/>
      <c r="BJ90" s="20"/>
    </row>
    <row r="91" spans="1:62" x14ac:dyDescent="0.25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1"/>
      <c r="M91" s="21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/>
      <c r="BG91" s="20"/>
      <c r="BH91" s="21"/>
      <c r="BI91" s="21"/>
      <c r="BJ91" s="20"/>
    </row>
    <row r="92" spans="1:62" x14ac:dyDescent="0.25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1"/>
      <c r="M92" s="21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  <c r="AY92" s="20"/>
      <c r="AZ92" s="20"/>
      <c r="BA92" s="20"/>
      <c r="BB92" s="20"/>
      <c r="BC92" s="20"/>
      <c r="BD92" s="20"/>
      <c r="BE92" s="20"/>
      <c r="BF92" s="20"/>
      <c r="BG92" s="20"/>
      <c r="BH92" s="21"/>
      <c r="BI92" s="21"/>
      <c r="BJ92" s="20"/>
    </row>
    <row r="93" spans="1:62" x14ac:dyDescent="0.25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1"/>
      <c r="M93" s="21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20"/>
      <c r="AS93" s="20"/>
      <c r="AT93" s="20"/>
      <c r="AU93" s="20"/>
      <c r="AV93" s="20"/>
      <c r="AW93" s="20"/>
      <c r="AX93" s="20"/>
      <c r="AY93" s="20"/>
      <c r="AZ93" s="20"/>
      <c r="BA93" s="20"/>
      <c r="BB93" s="20"/>
      <c r="BC93" s="20"/>
      <c r="BD93" s="20"/>
      <c r="BE93" s="20"/>
      <c r="BF93" s="20"/>
      <c r="BG93" s="20"/>
      <c r="BH93" s="21"/>
      <c r="BI93" s="21"/>
      <c r="BJ93" s="20"/>
    </row>
    <row r="94" spans="1:62" x14ac:dyDescent="0.25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1"/>
      <c r="M94" s="21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20"/>
      <c r="AS94" s="20"/>
      <c r="AT94" s="20"/>
      <c r="AU94" s="20"/>
      <c r="AV94" s="20"/>
      <c r="AW94" s="20"/>
      <c r="AX94" s="20"/>
      <c r="AY94" s="20"/>
      <c r="AZ94" s="20"/>
      <c r="BA94" s="20"/>
      <c r="BB94" s="20"/>
      <c r="BC94" s="20"/>
      <c r="BD94" s="20"/>
      <c r="BE94" s="20"/>
      <c r="BF94" s="20"/>
      <c r="BG94" s="20"/>
      <c r="BH94" s="21"/>
      <c r="BI94" s="21"/>
      <c r="BJ94" s="20"/>
    </row>
    <row r="95" spans="1:62" x14ac:dyDescent="0.25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1"/>
      <c r="M95" s="21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1"/>
      <c r="BI95" s="21"/>
      <c r="BJ95" s="20"/>
    </row>
    <row r="96" spans="1:62" x14ac:dyDescent="0.25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1"/>
      <c r="M96" s="21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20"/>
      <c r="AS96" s="20"/>
      <c r="AT96" s="20"/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1"/>
      <c r="BI96" s="21"/>
      <c r="BJ96" s="20"/>
    </row>
    <row r="97" spans="1:62" x14ac:dyDescent="0.25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1"/>
      <c r="M97" s="21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1"/>
      <c r="BI97" s="21"/>
      <c r="BJ97" s="20"/>
    </row>
    <row r="98" spans="1:62" x14ac:dyDescent="0.25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1"/>
      <c r="M98" s="21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1"/>
      <c r="BI98" s="21"/>
      <c r="BJ98" s="20"/>
    </row>
    <row r="99" spans="1:62" x14ac:dyDescent="0.25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1"/>
      <c r="M99" s="21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20"/>
      <c r="AS99" s="20"/>
      <c r="AT99" s="20"/>
      <c r="AU99" s="20"/>
      <c r="AV99" s="20"/>
      <c r="AW99" s="20"/>
      <c r="AX99" s="20"/>
      <c r="AY99" s="20"/>
      <c r="AZ99" s="20"/>
      <c r="BA99" s="20"/>
      <c r="BB99" s="20"/>
      <c r="BC99" s="20"/>
      <c r="BD99" s="20"/>
      <c r="BE99" s="20"/>
      <c r="BF99" s="20"/>
      <c r="BG99" s="20"/>
      <c r="BH99" s="21"/>
      <c r="BI99" s="21"/>
      <c r="BJ99" s="20"/>
    </row>
    <row r="100" spans="1:62" x14ac:dyDescent="0.25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1"/>
      <c r="M100" s="21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20"/>
      <c r="AS100" s="20"/>
      <c r="AT100" s="20"/>
      <c r="AU100" s="20"/>
      <c r="AV100" s="20"/>
      <c r="AW100" s="20"/>
      <c r="AX100" s="20"/>
      <c r="AY100" s="20"/>
      <c r="AZ100" s="20"/>
      <c r="BA100" s="20"/>
      <c r="BB100" s="20"/>
      <c r="BC100" s="20"/>
      <c r="BD100" s="20"/>
      <c r="BE100" s="20"/>
      <c r="BF100" s="20"/>
      <c r="BG100" s="20"/>
      <c r="BH100" s="21"/>
      <c r="BI100" s="21"/>
      <c r="BJ100" s="20"/>
    </row>
    <row r="101" spans="1:62" x14ac:dyDescent="0.25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1"/>
      <c r="M101" s="21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20"/>
      <c r="AS101" s="20"/>
      <c r="AT101" s="20"/>
      <c r="AU101" s="20"/>
      <c r="AV101" s="20"/>
      <c r="AW101" s="20"/>
      <c r="AX101" s="20"/>
      <c r="AY101" s="20"/>
      <c r="AZ101" s="20"/>
      <c r="BA101" s="20"/>
      <c r="BB101" s="20"/>
      <c r="BC101" s="20"/>
      <c r="BD101" s="20"/>
      <c r="BE101" s="20"/>
      <c r="BF101" s="20"/>
      <c r="BG101" s="20"/>
      <c r="BH101" s="21"/>
      <c r="BI101" s="21"/>
      <c r="BJ101" s="20"/>
    </row>
    <row r="102" spans="1:62" x14ac:dyDescent="0.25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1"/>
      <c r="M102" s="21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20"/>
      <c r="AS102" s="20"/>
      <c r="AT102" s="20"/>
      <c r="AU102" s="20"/>
      <c r="AV102" s="20"/>
      <c r="AW102" s="20"/>
      <c r="AX102" s="20"/>
      <c r="AY102" s="20"/>
      <c r="AZ102" s="20"/>
      <c r="BA102" s="20"/>
      <c r="BB102" s="20"/>
      <c r="BC102" s="20"/>
      <c r="BD102" s="20"/>
      <c r="BE102" s="20"/>
      <c r="BF102" s="20"/>
      <c r="BG102" s="20"/>
      <c r="BH102" s="21"/>
      <c r="BI102" s="21"/>
      <c r="BJ102" s="20"/>
    </row>
    <row r="103" spans="1:62" x14ac:dyDescent="0.25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1"/>
      <c r="M103" s="21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1"/>
      <c r="BI103" s="21"/>
      <c r="BJ103" s="20"/>
    </row>
    <row r="104" spans="1:62" x14ac:dyDescent="0.25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1"/>
      <c r="M104" s="21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20"/>
      <c r="AS104" s="20"/>
      <c r="AT104" s="20"/>
      <c r="AU104" s="20"/>
      <c r="AV104" s="20"/>
      <c r="AW104" s="20"/>
      <c r="AX104" s="20"/>
      <c r="AY104" s="20"/>
      <c r="AZ104" s="20"/>
      <c r="BA104" s="20"/>
      <c r="BB104" s="20"/>
      <c r="BC104" s="20"/>
      <c r="BD104" s="20"/>
      <c r="BE104" s="20"/>
      <c r="BF104" s="20"/>
      <c r="BG104" s="20"/>
      <c r="BH104" s="21"/>
      <c r="BI104" s="21"/>
      <c r="BJ104" s="20"/>
    </row>
    <row r="105" spans="1:62" x14ac:dyDescent="0.25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1"/>
      <c r="M105" s="21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1"/>
      <c r="BI105" s="21"/>
      <c r="BJ105" s="20"/>
    </row>
    <row r="106" spans="1:62" x14ac:dyDescent="0.25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1"/>
      <c r="M106" s="21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  <c r="AT106" s="20"/>
      <c r="AU106" s="20"/>
      <c r="AV106" s="20"/>
      <c r="AW106" s="20"/>
      <c r="AX106" s="20"/>
      <c r="AY106" s="20"/>
      <c r="AZ106" s="20"/>
      <c r="BA106" s="20"/>
      <c r="BB106" s="20"/>
      <c r="BC106" s="20"/>
      <c r="BD106" s="20"/>
      <c r="BE106" s="20"/>
      <c r="BF106" s="20"/>
      <c r="BG106" s="20"/>
      <c r="BH106" s="21"/>
      <c r="BI106" s="21"/>
      <c r="BJ106" s="20"/>
    </row>
    <row r="107" spans="1:62" x14ac:dyDescent="0.25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1"/>
      <c r="M107" s="21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1"/>
      <c r="BI107" s="21"/>
      <c r="BJ107" s="20"/>
    </row>
    <row r="108" spans="1:62" x14ac:dyDescent="0.25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1"/>
      <c r="M108" s="21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20"/>
      <c r="AS108" s="20"/>
      <c r="AT108" s="20"/>
      <c r="AU108" s="20"/>
      <c r="AV108" s="20"/>
      <c r="AW108" s="20"/>
      <c r="AX108" s="20"/>
      <c r="AY108" s="20"/>
      <c r="AZ108" s="20"/>
      <c r="BA108" s="20"/>
      <c r="BB108" s="20"/>
      <c r="BC108" s="20"/>
      <c r="BD108" s="20"/>
      <c r="BE108" s="20"/>
      <c r="BF108" s="20"/>
      <c r="BG108" s="20"/>
      <c r="BH108" s="21"/>
      <c r="BI108" s="21"/>
      <c r="BJ108" s="20"/>
    </row>
    <row r="109" spans="1:62" x14ac:dyDescent="0.25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1"/>
      <c r="M109" s="21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20"/>
      <c r="AS109" s="20"/>
      <c r="AT109" s="20"/>
      <c r="AU109" s="20"/>
      <c r="AV109" s="20"/>
      <c r="AW109" s="20"/>
      <c r="AX109" s="20"/>
      <c r="AY109" s="20"/>
      <c r="AZ109" s="20"/>
      <c r="BA109" s="20"/>
      <c r="BB109" s="20"/>
      <c r="BC109" s="20"/>
      <c r="BD109" s="20"/>
      <c r="BE109" s="20"/>
      <c r="BF109" s="20"/>
      <c r="BG109" s="20"/>
      <c r="BH109" s="21"/>
      <c r="BI109" s="21"/>
      <c r="BJ109" s="20"/>
    </row>
    <row r="110" spans="1:62" x14ac:dyDescent="0.25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1"/>
      <c r="M110" s="21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20"/>
      <c r="AS110" s="20"/>
      <c r="AT110" s="20"/>
      <c r="AU110" s="20"/>
      <c r="AV110" s="20"/>
      <c r="AW110" s="20"/>
      <c r="AX110" s="20"/>
      <c r="AY110" s="20"/>
      <c r="AZ110" s="20"/>
      <c r="BA110" s="20"/>
      <c r="BB110" s="20"/>
      <c r="BC110" s="20"/>
      <c r="BD110" s="20"/>
      <c r="BE110" s="20"/>
      <c r="BF110" s="20"/>
      <c r="BG110" s="20"/>
      <c r="BH110" s="21"/>
      <c r="BI110" s="21"/>
      <c r="BJ110" s="20"/>
    </row>
    <row r="111" spans="1:62" x14ac:dyDescent="0.25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1"/>
      <c r="M111" s="21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20"/>
      <c r="AS111" s="20"/>
      <c r="AT111" s="20"/>
      <c r="AU111" s="20"/>
      <c r="AV111" s="20"/>
      <c r="AW111" s="20"/>
      <c r="AX111" s="20"/>
      <c r="AY111" s="20"/>
      <c r="AZ111" s="20"/>
      <c r="BA111" s="20"/>
      <c r="BB111" s="20"/>
      <c r="BC111" s="20"/>
      <c r="BD111" s="20"/>
      <c r="BE111" s="20"/>
      <c r="BF111" s="20"/>
      <c r="BG111" s="20"/>
      <c r="BH111" s="21"/>
      <c r="BI111" s="21"/>
      <c r="BJ111" s="20"/>
    </row>
    <row r="112" spans="1:62" x14ac:dyDescent="0.25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1"/>
      <c r="M112" s="21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  <c r="AP112" s="20"/>
      <c r="AQ112" s="20"/>
      <c r="AR112" s="20"/>
      <c r="AS112" s="20"/>
      <c r="AT112" s="20"/>
      <c r="AU112" s="20"/>
      <c r="AV112" s="20"/>
      <c r="AW112" s="20"/>
      <c r="AX112" s="20"/>
      <c r="AY112" s="20"/>
      <c r="AZ112" s="20"/>
      <c r="BA112" s="20"/>
      <c r="BB112" s="20"/>
      <c r="BC112" s="20"/>
      <c r="BD112" s="20"/>
      <c r="BE112" s="20"/>
      <c r="BF112" s="20"/>
      <c r="BG112" s="20"/>
      <c r="BH112" s="21"/>
      <c r="BI112" s="21"/>
      <c r="BJ112" s="20"/>
    </row>
    <row r="113" spans="1:62" x14ac:dyDescent="0.25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1"/>
      <c r="M113" s="21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  <c r="AP113" s="20"/>
      <c r="AQ113" s="20"/>
      <c r="AR113" s="20"/>
      <c r="AS113" s="20"/>
      <c r="AT113" s="20"/>
      <c r="AU113" s="20"/>
      <c r="AV113" s="20"/>
      <c r="AW113" s="20"/>
      <c r="AX113" s="20"/>
      <c r="AY113" s="20"/>
      <c r="AZ113" s="20"/>
      <c r="BA113" s="20"/>
      <c r="BB113" s="20"/>
      <c r="BC113" s="20"/>
      <c r="BD113" s="20"/>
      <c r="BE113" s="20"/>
      <c r="BF113" s="20"/>
      <c r="BG113" s="20"/>
      <c r="BH113" s="21"/>
      <c r="BI113" s="21"/>
      <c r="BJ113" s="20"/>
    </row>
    <row r="114" spans="1:62" x14ac:dyDescent="0.25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1"/>
      <c r="M114" s="21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  <c r="AP114" s="20"/>
      <c r="AQ114" s="20"/>
      <c r="AR114" s="20"/>
      <c r="AS114" s="20"/>
      <c r="AT114" s="20"/>
      <c r="AU114" s="20"/>
      <c r="AV114" s="20"/>
      <c r="AW114" s="20"/>
      <c r="AX114" s="20"/>
      <c r="AY114" s="20"/>
      <c r="AZ114" s="20"/>
      <c r="BA114" s="20"/>
      <c r="BB114" s="20"/>
      <c r="BC114" s="20"/>
      <c r="BD114" s="20"/>
      <c r="BE114" s="20"/>
      <c r="BF114" s="20"/>
      <c r="BG114" s="20"/>
      <c r="BH114" s="21"/>
      <c r="BI114" s="21"/>
      <c r="BJ114" s="20"/>
    </row>
    <row r="115" spans="1:62" x14ac:dyDescent="0.25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1"/>
      <c r="M115" s="21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  <c r="AP115" s="20"/>
      <c r="AQ115" s="20"/>
      <c r="AR115" s="20"/>
      <c r="AS115" s="20"/>
      <c r="AT115" s="20"/>
      <c r="AU115" s="20"/>
      <c r="AV115" s="20"/>
      <c r="AW115" s="20"/>
      <c r="AX115" s="20"/>
      <c r="AY115" s="20"/>
      <c r="AZ115" s="20"/>
      <c r="BA115" s="20"/>
      <c r="BB115" s="20"/>
      <c r="BC115" s="20"/>
      <c r="BD115" s="20"/>
      <c r="BE115" s="20"/>
      <c r="BF115" s="20"/>
      <c r="BG115" s="20"/>
      <c r="BH115" s="21"/>
      <c r="BI115" s="21"/>
      <c r="BJ115" s="20"/>
    </row>
    <row r="116" spans="1:62" x14ac:dyDescent="0.25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1"/>
      <c r="M116" s="21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  <c r="AP116" s="20"/>
      <c r="AQ116" s="20"/>
      <c r="AR116" s="20"/>
      <c r="AS116" s="20"/>
      <c r="AT116" s="20"/>
      <c r="AU116" s="20"/>
      <c r="AV116" s="20"/>
      <c r="AW116" s="20"/>
      <c r="AX116" s="20"/>
      <c r="AY116" s="20"/>
      <c r="AZ116" s="20"/>
      <c r="BA116" s="20"/>
      <c r="BB116" s="20"/>
      <c r="BC116" s="20"/>
      <c r="BD116" s="20"/>
      <c r="BE116" s="20"/>
      <c r="BF116" s="20"/>
      <c r="BG116" s="20"/>
      <c r="BH116" s="21"/>
      <c r="BI116" s="21"/>
      <c r="BJ116" s="20"/>
    </row>
    <row r="117" spans="1:62" x14ac:dyDescent="0.25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1"/>
      <c r="M117" s="21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  <c r="AP117" s="20"/>
      <c r="AQ117" s="20"/>
      <c r="AR117" s="20"/>
      <c r="AS117" s="20"/>
      <c r="AT117" s="20"/>
      <c r="AU117" s="20"/>
      <c r="AV117" s="20"/>
      <c r="AW117" s="20"/>
      <c r="AX117" s="20"/>
      <c r="AY117" s="20"/>
      <c r="AZ117" s="20"/>
      <c r="BA117" s="20"/>
      <c r="BB117" s="20"/>
      <c r="BC117" s="20"/>
      <c r="BD117" s="20"/>
      <c r="BE117" s="20"/>
      <c r="BF117" s="20"/>
      <c r="BG117" s="20"/>
      <c r="BH117" s="21"/>
      <c r="BI117" s="21"/>
      <c r="BJ117" s="20"/>
    </row>
    <row r="118" spans="1:62" x14ac:dyDescent="0.25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1"/>
      <c r="M118" s="21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  <c r="AP118" s="20"/>
      <c r="AQ118" s="20"/>
      <c r="AR118" s="20"/>
      <c r="AS118" s="20"/>
      <c r="AT118" s="20"/>
      <c r="AU118" s="20"/>
      <c r="AV118" s="20"/>
      <c r="AW118" s="20"/>
      <c r="AX118" s="20"/>
      <c r="AY118" s="20"/>
      <c r="AZ118" s="20"/>
      <c r="BA118" s="20"/>
      <c r="BB118" s="20"/>
      <c r="BC118" s="20"/>
      <c r="BD118" s="20"/>
      <c r="BE118" s="20"/>
      <c r="BF118" s="20"/>
      <c r="BG118" s="20"/>
      <c r="BH118" s="21"/>
      <c r="BI118" s="21"/>
      <c r="BJ118" s="20"/>
    </row>
    <row r="119" spans="1:62" x14ac:dyDescent="0.25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1"/>
      <c r="M119" s="21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  <c r="AP119" s="20"/>
      <c r="AQ119" s="20"/>
      <c r="AR119" s="20"/>
      <c r="AS119" s="20"/>
      <c r="AT119" s="20"/>
      <c r="AU119" s="20"/>
      <c r="AV119" s="20"/>
      <c r="AW119" s="20"/>
      <c r="AX119" s="20"/>
      <c r="AY119" s="20"/>
      <c r="AZ119" s="20"/>
      <c r="BA119" s="20"/>
      <c r="BB119" s="20"/>
      <c r="BC119" s="20"/>
      <c r="BD119" s="20"/>
      <c r="BE119" s="20"/>
      <c r="BF119" s="20"/>
      <c r="BG119" s="20"/>
      <c r="BH119" s="21"/>
      <c r="BI119" s="21"/>
      <c r="BJ119" s="20"/>
    </row>
    <row r="120" spans="1:62" x14ac:dyDescent="0.25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1"/>
      <c r="M120" s="21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  <c r="AP120" s="20"/>
      <c r="AQ120" s="20"/>
      <c r="AR120" s="20"/>
      <c r="AS120" s="20"/>
      <c r="AT120" s="20"/>
      <c r="AU120" s="20"/>
      <c r="AV120" s="20"/>
      <c r="AW120" s="20"/>
      <c r="AX120" s="20"/>
      <c r="AY120" s="20"/>
      <c r="AZ120" s="20"/>
      <c r="BA120" s="20"/>
      <c r="BB120" s="20"/>
      <c r="BC120" s="20"/>
      <c r="BD120" s="20"/>
      <c r="BE120" s="20"/>
      <c r="BF120" s="20"/>
      <c r="BG120" s="20"/>
      <c r="BH120" s="21"/>
      <c r="BI120" s="21"/>
      <c r="BJ120" s="20"/>
    </row>
    <row r="121" spans="1:62" x14ac:dyDescent="0.25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1"/>
      <c r="M121" s="21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  <c r="AP121" s="20"/>
      <c r="AQ121" s="20"/>
      <c r="AR121" s="20"/>
      <c r="AS121" s="20"/>
      <c r="AT121" s="20"/>
      <c r="AU121" s="20"/>
      <c r="AV121" s="20"/>
      <c r="AW121" s="20"/>
      <c r="AX121" s="20"/>
      <c r="AY121" s="20"/>
      <c r="AZ121" s="20"/>
      <c r="BA121" s="20"/>
      <c r="BB121" s="20"/>
      <c r="BC121" s="20"/>
      <c r="BD121" s="20"/>
      <c r="BE121" s="20"/>
      <c r="BF121" s="20"/>
      <c r="BG121" s="20"/>
      <c r="BH121" s="21"/>
      <c r="BI121" s="21"/>
      <c r="BJ121" s="20"/>
    </row>
    <row r="122" spans="1:62" x14ac:dyDescent="0.25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1"/>
      <c r="M122" s="21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  <c r="AP122" s="20"/>
      <c r="AQ122" s="20"/>
      <c r="AR122" s="20"/>
      <c r="AS122" s="20"/>
      <c r="AT122" s="20"/>
      <c r="AU122" s="20"/>
      <c r="AV122" s="20"/>
      <c r="AW122" s="20"/>
      <c r="AX122" s="20"/>
      <c r="AY122" s="20"/>
      <c r="AZ122" s="20"/>
      <c r="BA122" s="20"/>
      <c r="BB122" s="20"/>
      <c r="BC122" s="20"/>
      <c r="BD122" s="20"/>
      <c r="BE122" s="20"/>
      <c r="BF122" s="20"/>
      <c r="BG122" s="20"/>
      <c r="BH122" s="21"/>
      <c r="BI122" s="21"/>
      <c r="BJ122" s="20"/>
    </row>
    <row r="123" spans="1:62" x14ac:dyDescent="0.25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1"/>
      <c r="M123" s="21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  <c r="AP123" s="20"/>
      <c r="AQ123" s="20"/>
      <c r="AR123" s="20"/>
      <c r="AS123" s="20"/>
      <c r="AT123" s="20"/>
      <c r="AU123" s="20"/>
      <c r="AV123" s="20"/>
      <c r="AW123" s="20"/>
      <c r="AX123" s="20"/>
      <c r="AY123" s="20"/>
      <c r="AZ123" s="20"/>
      <c r="BA123" s="20"/>
      <c r="BB123" s="20"/>
      <c r="BC123" s="20"/>
      <c r="BD123" s="20"/>
      <c r="BE123" s="20"/>
      <c r="BF123" s="20"/>
      <c r="BG123" s="20"/>
      <c r="BH123" s="21"/>
      <c r="BI123" s="21"/>
      <c r="BJ123" s="20"/>
    </row>
    <row r="124" spans="1:62" x14ac:dyDescent="0.25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1"/>
      <c r="M124" s="21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  <c r="AP124" s="20"/>
      <c r="AQ124" s="20"/>
      <c r="AR124" s="20"/>
      <c r="AS124" s="20"/>
      <c r="AT124" s="20"/>
      <c r="AU124" s="20"/>
      <c r="AV124" s="20"/>
      <c r="AW124" s="20"/>
      <c r="AX124" s="20"/>
      <c r="AY124" s="20"/>
      <c r="AZ124" s="20"/>
      <c r="BA124" s="20"/>
      <c r="BB124" s="20"/>
      <c r="BC124" s="20"/>
      <c r="BD124" s="20"/>
      <c r="BE124" s="20"/>
      <c r="BF124" s="20"/>
      <c r="BG124" s="20"/>
      <c r="BH124" s="21"/>
      <c r="BI124" s="21"/>
      <c r="BJ124" s="20"/>
    </row>
    <row r="125" spans="1:62" x14ac:dyDescent="0.25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1"/>
      <c r="M125" s="21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  <c r="AP125" s="20"/>
      <c r="AQ125" s="20"/>
      <c r="AR125" s="20"/>
      <c r="AS125" s="20"/>
      <c r="AT125" s="20"/>
      <c r="AU125" s="20"/>
      <c r="AV125" s="20"/>
      <c r="AW125" s="20"/>
      <c r="AX125" s="20"/>
      <c r="AY125" s="20"/>
      <c r="AZ125" s="20"/>
      <c r="BA125" s="20"/>
      <c r="BB125" s="20"/>
      <c r="BC125" s="20"/>
      <c r="BD125" s="20"/>
      <c r="BE125" s="20"/>
      <c r="BF125" s="20"/>
      <c r="BG125" s="20"/>
      <c r="BH125" s="21"/>
      <c r="BI125" s="21"/>
      <c r="BJ125" s="20"/>
    </row>
    <row r="126" spans="1:62" x14ac:dyDescent="0.25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1"/>
      <c r="M126" s="21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  <c r="AP126" s="20"/>
      <c r="AQ126" s="20"/>
      <c r="AR126" s="20"/>
      <c r="AS126" s="20"/>
      <c r="AT126" s="20"/>
      <c r="AU126" s="20"/>
      <c r="AV126" s="20"/>
      <c r="AW126" s="20"/>
      <c r="AX126" s="20"/>
      <c r="AY126" s="20"/>
      <c r="AZ126" s="20"/>
      <c r="BA126" s="20"/>
      <c r="BB126" s="20"/>
      <c r="BC126" s="20"/>
      <c r="BD126" s="20"/>
      <c r="BE126" s="20"/>
      <c r="BF126" s="20"/>
      <c r="BG126" s="20"/>
      <c r="BH126" s="21"/>
      <c r="BI126" s="21"/>
      <c r="BJ126" s="20"/>
    </row>
    <row r="127" spans="1:62" x14ac:dyDescent="0.25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1"/>
      <c r="M127" s="21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  <c r="AP127" s="20"/>
      <c r="AQ127" s="20"/>
      <c r="AR127" s="20"/>
      <c r="AS127" s="20"/>
      <c r="AT127" s="20"/>
      <c r="AU127" s="20"/>
      <c r="AV127" s="20"/>
      <c r="AW127" s="20"/>
      <c r="AX127" s="20"/>
      <c r="AY127" s="20"/>
      <c r="AZ127" s="20"/>
      <c r="BA127" s="20"/>
      <c r="BB127" s="20"/>
      <c r="BC127" s="20"/>
      <c r="BD127" s="20"/>
      <c r="BE127" s="20"/>
      <c r="BF127" s="20"/>
      <c r="BG127" s="20"/>
      <c r="BH127" s="21"/>
      <c r="BI127" s="21"/>
      <c r="BJ127" s="20"/>
    </row>
    <row r="128" spans="1:62" x14ac:dyDescent="0.25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1"/>
      <c r="M128" s="21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  <c r="AP128" s="20"/>
      <c r="AQ128" s="20"/>
      <c r="AR128" s="20"/>
      <c r="AS128" s="20"/>
      <c r="AT128" s="20"/>
      <c r="AU128" s="20"/>
      <c r="AV128" s="20"/>
      <c r="AW128" s="20"/>
      <c r="AX128" s="20"/>
      <c r="AY128" s="20"/>
      <c r="AZ128" s="20"/>
      <c r="BA128" s="20"/>
      <c r="BB128" s="20"/>
      <c r="BC128" s="20"/>
      <c r="BD128" s="20"/>
      <c r="BE128" s="20"/>
      <c r="BF128" s="20"/>
      <c r="BG128" s="20"/>
      <c r="BH128" s="21"/>
      <c r="BI128" s="21"/>
      <c r="BJ128" s="20"/>
    </row>
    <row r="129" spans="1:62" x14ac:dyDescent="0.25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1"/>
      <c r="M129" s="21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  <c r="AP129" s="20"/>
      <c r="AQ129" s="20"/>
      <c r="AR129" s="20"/>
      <c r="AS129" s="20"/>
      <c r="AT129" s="20"/>
      <c r="AU129" s="20"/>
      <c r="AV129" s="20"/>
      <c r="AW129" s="20"/>
      <c r="AX129" s="20"/>
      <c r="AY129" s="20"/>
      <c r="AZ129" s="20"/>
      <c r="BA129" s="20"/>
      <c r="BB129" s="20"/>
      <c r="BC129" s="20"/>
      <c r="BD129" s="20"/>
      <c r="BE129" s="20"/>
      <c r="BF129" s="20"/>
      <c r="BG129" s="20"/>
      <c r="BH129" s="21"/>
      <c r="BI129" s="21"/>
      <c r="BJ129" s="20"/>
    </row>
    <row r="130" spans="1:62" x14ac:dyDescent="0.25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1"/>
      <c r="M130" s="21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  <c r="AP130" s="20"/>
      <c r="AQ130" s="20"/>
      <c r="AR130" s="20"/>
      <c r="AS130" s="20"/>
      <c r="AT130" s="20"/>
      <c r="AU130" s="20"/>
      <c r="AV130" s="20"/>
      <c r="AW130" s="20"/>
      <c r="AX130" s="20"/>
      <c r="AY130" s="20"/>
      <c r="AZ130" s="20"/>
      <c r="BA130" s="20"/>
      <c r="BB130" s="20"/>
      <c r="BC130" s="20"/>
      <c r="BD130" s="20"/>
      <c r="BE130" s="20"/>
      <c r="BF130" s="20"/>
      <c r="BG130" s="20"/>
      <c r="BH130" s="21"/>
      <c r="BI130" s="21"/>
      <c r="BJ130" s="20"/>
    </row>
    <row r="131" spans="1:62" x14ac:dyDescent="0.25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1"/>
      <c r="M131" s="21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  <c r="AP131" s="20"/>
      <c r="AQ131" s="20"/>
      <c r="AR131" s="20"/>
      <c r="AS131" s="20"/>
      <c r="AT131" s="20"/>
      <c r="AU131" s="20"/>
      <c r="AV131" s="20"/>
      <c r="AW131" s="20"/>
      <c r="AX131" s="20"/>
      <c r="AY131" s="20"/>
      <c r="AZ131" s="20"/>
      <c r="BA131" s="20"/>
      <c r="BB131" s="20"/>
      <c r="BC131" s="20"/>
      <c r="BD131" s="20"/>
      <c r="BE131" s="20"/>
      <c r="BF131" s="20"/>
      <c r="BG131" s="20"/>
      <c r="BH131" s="21"/>
      <c r="BI131" s="21"/>
      <c r="BJ131" s="20"/>
    </row>
    <row r="132" spans="1:62" x14ac:dyDescent="0.25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1"/>
      <c r="M132" s="21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20"/>
      <c r="AV132" s="20"/>
      <c r="AW132" s="20"/>
      <c r="AX132" s="20"/>
      <c r="AY132" s="20"/>
      <c r="AZ132" s="20"/>
      <c r="BA132" s="20"/>
      <c r="BB132" s="20"/>
      <c r="BC132" s="20"/>
      <c r="BD132" s="20"/>
      <c r="BE132" s="20"/>
      <c r="BF132" s="20"/>
      <c r="BG132" s="20"/>
      <c r="BH132" s="21"/>
      <c r="BI132" s="21"/>
      <c r="BJ132" s="20"/>
    </row>
    <row r="133" spans="1:62" x14ac:dyDescent="0.25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1"/>
      <c r="M133" s="21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0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1"/>
      <c r="BI133" s="21"/>
      <c r="BJ133" s="20"/>
    </row>
    <row r="134" spans="1:62" x14ac:dyDescent="0.25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1"/>
      <c r="M134" s="21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  <c r="AP134" s="20"/>
      <c r="AQ134" s="20"/>
      <c r="AR134" s="20"/>
      <c r="AS134" s="20"/>
      <c r="AT134" s="20"/>
      <c r="AU134" s="20"/>
      <c r="AV134" s="20"/>
      <c r="AW134" s="20"/>
      <c r="AX134" s="20"/>
      <c r="AY134" s="20"/>
      <c r="AZ134" s="20"/>
      <c r="BA134" s="20"/>
      <c r="BB134" s="20"/>
      <c r="BC134" s="20"/>
      <c r="BD134" s="20"/>
      <c r="BE134" s="20"/>
      <c r="BF134" s="20"/>
      <c r="BG134" s="20"/>
      <c r="BH134" s="21"/>
      <c r="BI134" s="21"/>
      <c r="BJ134" s="20"/>
    </row>
    <row r="135" spans="1:62" x14ac:dyDescent="0.25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1"/>
      <c r="M135" s="21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  <c r="AP135" s="20"/>
      <c r="AQ135" s="20"/>
      <c r="AR135" s="20"/>
      <c r="AS135" s="20"/>
      <c r="AT135" s="20"/>
      <c r="AU135" s="20"/>
      <c r="AV135" s="20"/>
      <c r="AW135" s="20"/>
      <c r="AX135" s="20"/>
      <c r="AY135" s="20"/>
      <c r="AZ135" s="20"/>
      <c r="BA135" s="20"/>
      <c r="BB135" s="20"/>
      <c r="BC135" s="20"/>
      <c r="BD135" s="20"/>
      <c r="BE135" s="20"/>
      <c r="BF135" s="20"/>
      <c r="BG135" s="20"/>
      <c r="BH135" s="21"/>
      <c r="BI135" s="21"/>
      <c r="BJ135" s="20"/>
    </row>
    <row r="136" spans="1:62" x14ac:dyDescent="0.25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1"/>
      <c r="M136" s="21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  <c r="AP136" s="20"/>
      <c r="AQ136" s="20"/>
      <c r="AR136" s="20"/>
      <c r="AS136" s="20"/>
      <c r="AT136" s="20"/>
      <c r="AU136" s="20"/>
      <c r="AV136" s="20"/>
      <c r="AW136" s="20"/>
      <c r="AX136" s="20"/>
      <c r="AY136" s="20"/>
      <c r="AZ136" s="20"/>
      <c r="BA136" s="20"/>
      <c r="BB136" s="20"/>
      <c r="BC136" s="20"/>
      <c r="BD136" s="20"/>
      <c r="BE136" s="20"/>
      <c r="BF136" s="20"/>
      <c r="BG136" s="20"/>
      <c r="BH136" s="21"/>
      <c r="BI136" s="21"/>
      <c r="BJ136" s="20"/>
    </row>
    <row r="137" spans="1:62" x14ac:dyDescent="0.25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1"/>
      <c r="M137" s="21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  <c r="AP137" s="20"/>
      <c r="AQ137" s="20"/>
      <c r="AR137" s="20"/>
      <c r="AS137" s="20"/>
      <c r="AT137" s="20"/>
      <c r="AU137" s="20"/>
      <c r="AV137" s="20"/>
      <c r="AW137" s="20"/>
      <c r="AX137" s="20"/>
      <c r="AY137" s="20"/>
      <c r="AZ137" s="20"/>
      <c r="BA137" s="20"/>
      <c r="BB137" s="20"/>
      <c r="BC137" s="20"/>
      <c r="BD137" s="20"/>
      <c r="BE137" s="20"/>
      <c r="BF137" s="20"/>
      <c r="BG137" s="20"/>
      <c r="BH137" s="21"/>
      <c r="BI137" s="21"/>
      <c r="BJ137" s="20"/>
    </row>
    <row r="138" spans="1:62" x14ac:dyDescent="0.25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1"/>
      <c r="M138" s="21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  <c r="AP138" s="20"/>
      <c r="AQ138" s="20"/>
      <c r="AR138" s="20"/>
      <c r="AS138" s="20"/>
      <c r="AT138" s="20"/>
      <c r="AU138" s="20"/>
      <c r="AV138" s="20"/>
      <c r="AW138" s="20"/>
      <c r="AX138" s="20"/>
      <c r="AY138" s="20"/>
      <c r="AZ138" s="20"/>
      <c r="BA138" s="20"/>
      <c r="BB138" s="20"/>
      <c r="BC138" s="20"/>
      <c r="BD138" s="20"/>
      <c r="BE138" s="20"/>
      <c r="BF138" s="20"/>
      <c r="BG138" s="20"/>
      <c r="BH138" s="21"/>
      <c r="BI138" s="21"/>
      <c r="BJ138" s="20"/>
    </row>
    <row r="139" spans="1:62" x14ac:dyDescent="0.25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1"/>
      <c r="M139" s="21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  <c r="AP139" s="20"/>
      <c r="AQ139" s="20"/>
      <c r="AR139" s="20"/>
      <c r="AS139" s="20"/>
      <c r="AT139" s="20"/>
      <c r="AU139" s="20"/>
      <c r="AV139" s="20"/>
      <c r="AW139" s="20"/>
      <c r="AX139" s="20"/>
      <c r="AY139" s="20"/>
      <c r="AZ139" s="20"/>
      <c r="BA139" s="20"/>
      <c r="BB139" s="20"/>
      <c r="BC139" s="20"/>
      <c r="BD139" s="20"/>
      <c r="BE139" s="20"/>
      <c r="BF139" s="20"/>
      <c r="BG139" s="20"/>
      <c r="BH139" s="21"/>
      <c r="BI139" s="21"/>
      <c r="BJ139" s="20"/>
    </row>
    <row r="140" spans="1:62" x14ac:dyDescent="0.25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1"/>
      <c r="M140" s="21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  <c r="AP140" s="20"/>
      <c r="AQ140" s="20"/>
      <c r="AR140" s="20"/>
      <c r="AS140" s="20"/>
      <c r="AT140" s="20"/>
      <c r="AU140" s="20"/>
      <c r="AV140" s="20"/>
      <c r="AW140" s="20"/>
      <c r="AX140" s="20"/>
      <c r="AY140" s="20"/>
      <c r="AZ140" s="20"/>
      <c r="BA140" s="20"/>
      <c r="BB140" s="20"/>
      <c r="BC140" s="20"/>
      <c r="BD140" s="20"/>
      <c r="BE140" s="20"/>
      <c r="BF140" s="20"/>
      <c r="BG140" s="20"/>
      <c r="BH140" s="21"/>
      <c r="BI140" s="21"/>
      <c r="BJ140" s="20"/>
    </row>
    <row r="141" spans="1:62" x14ac:dyDescent="0.25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1"/>
      <c r="M141" s="21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  <c r="AP141" s="20"/>
      <c r="AQ141" s="20"/>
      <c r="AR141" s="20"/>
      <c r="AS141" s="20"/>
      <c r="AT141" s="20"/>
      <c r="AU141" s="20"/>
      <c r="AV141" s="20"/>
      <c r="AW141" s="20"/>
      <c r="AX141" s="20"/>
      <c r="AY141" s="20"/>
      <c r="AZ141" s="20"/>
      <c r="BA141" s="20"/>
      <c r="BB141" s="20"/>
      <c r="BC141" s="20"/>
      <c r="BD141" s="20"/>
      <c r="BE141" s="20"/>
      <c r="BF141" s="20"/>
      <c r="BG141" s="20"/>
      <c r="BH141" s="21"/>
      <c r="BI141" s="21"/>
      <c r="BJ141" s="20"/>
    </row>
    <row r="142" spans="1:62" x14ac:dyDescent="0.25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1"/>
      <c r="M142" s="21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  <c r="AP142" s="20"/>
      <c r="AQ142" s="20"/>
      <c r="AR142" s="20"/>
      <c r="AS142" s="20"/>
      <c r="AT142" s="20"/>
      <c r="AU142" s="20"/>
      <c r="AV142" s="20"/>
      <c r="AW142" s="20"/>
      <c r="AX142" s="20"/>
      <c r="AY142" s="20"/>
      <c r="AZ142" s="20"/>
      <c r="BA142" s="20"/>
      <c r="BB142" s="20"/>
      <c r="BC142" s="20"/>
      <c r="BD142" s="20"/>
      <c r="BE142" s="20"/>
      <c r="BF142" s="20"/>
      <c r="BG142" s="20"/>
      <c r="BH142" s="21"/>
      <c r="BI142" s="21"/>
      <c r="BJ142" s="20"/>
    </row>
    <row r="143" spans="1:62" x14ac:dyDescent="0.25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1"/>
      <c r="M143" s="21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  <c r="AP143" s="20"/>
      <c r="AQ143" s="20"/>
      <c r="AR143" s="20"/>
      <c r="AS143" s="20"/>
      <c r="AT143" s="20"/>
      <c r="AU143" s="20"/>
      <c r="AV143" s="20"/>
      <c r="AW143" s="20"/>
      <c r="AX143" s="20"/>
      <c r="AY143" s="20"/>
      <c r="AZ143" s="20"/>
      <c r="BA143" s="20"/>
      <c r="BB143" s="20"/>
      <c r="BC143" s="20"/>
      <c r="BD143" s="20"/>
      <c r="BE143" s="20"/>
      <c r="BF143" s="20"/>
      <c r="BG143" s="20"/>
      <c r="BH143" s="21"/>
      <c r="BI143" s="21"/>
      <c r="BJ143" s="20"/>
    </row>
    <row r="144" spans="1:62" x14ac:dyDescent="0.25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1"/>
      <c r="M144" s="21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  <c r="AP144" s="20"/>
      <c r="AQ144" s="20"/>
      <c r="AR144" s="20"/>
      <c r="AS144" s="20"/>
      <c r="AT144" s="20"/>
      <c r="AU144" s="20"/>
      <c r="AV144" s="20"/>
      <c r="AW144" s="20"/>
      <c r="AX144" s="20"/>
      <c r="AY144" s="20"/>
      <c r="AZ144" s="20"/>
      <c r="BA144" s="20"/>
      <c r="BB144" s="20"/>
      <c r="BC144" s="20"/>
      <c r="BD144" s="20"/>
      <c r="BE144" s="20"/>
      <c r="BF144" s="20"/>
      <c r="BG144" s="20"/>
      <c r="BH144" s="21"/>
      <c r="BI144" s="21"/>
      <c r="BJ144" s="20"/>
    </row>
    <row r="145" spans="1:62" x14ac:dyDescent="0.25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1"/>
      <c r="M145" s="21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1"/>
      <c r="BI145" s="21"/>
      <c r="BJ145" s="20"/>
    </row>
    <row r="146" spans="1:62" x14ac:dyDescent="0.25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1"/>
      <c r="M146" s="21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20"/>
      <c r="AS146" s="20"/>
      <c r="AT146" s="20"/>
      <c r="AU146" s="20"/>
      <c r="AV146" s="20"/>
      <c r="AW146" s="20"/>
      <c r="AX146" s="20"/>
      <c r="AY146" s="20"/>
      <c r="AZ146" s="20"/>
      <c r="BA146" s="20"/>
      <c r="BB146" s="20"/>
      <c r="BC146" s="20"/>
      <c r="BD146" s="20"/>
      <c r="BE146" s="20"/>
      <c r="BF146" s="20"/>
      <c r="BG146" s="20"/>
      <c r="BH146" s="21"/>
      <c r="BI146" s="21"/>
      <c r="BJ146" s="20"/>
    </row>
    <row r="147" spans="1:62" x14ac:dyDescent="0.25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1"/>
      <c r="M147" s="21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20"/>
      <c r="AS147" s="20"/>
      <c r="AT147" s="20"/>
      <c r="AU147" s="20"/>
      <c r="AV147" s="20"/>
      <c r="AW147" s="20"/>
      <c r="AX147" s="20"/>
      <c r="AY147" s="20"/>
      <c r="AZ147" s="20"/>
      <c r="BA147" s="20"/>
      <c r="BB147" s="20"/>
      <c r="BC147" s="20"/>
      <c r="BD147" s="20"/>
      <c r="BE147" s="20"/>
      <c r="BF147" s="20"/>
      <c r="BG147" s="20"/>
      <c r="BH147" s="21"/>
      <c r="BI147" s="21"/>
      <c r="BJ147" s="20"/>
    </row>
    <row r="148" spans="1:62" x14ac:dyDescent="0.25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1"/>
      <c r="M148" s="21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1"/>
      <c r="BI148" s="21"/>
      <c r="BJ148" s="20"/>
    </row>
    <row r="149" spans="1:62" x14ac:dyDescent="0.25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1"/>
      <c r="M149" s="21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/>
      <c r="AS149" s="20"/>
      <c r="AT149" s="20"/>
      <c r="AU149" s="20"/>
      <c r="AV149" s="20"/>
      <c r="AW149" s="20"/>
      <c r="AX149" s="20"/>
      <c r="AY149" s="20"/>
      <c r="AZ149" s="20"/>
      <c r="BA149" s="20"/>
      <c r="BB149" s="20"/>
      <c r="BC149" s="20"/>
      <c r="BD149" s="20"/>
      <c r="BE149" s="20"/>
      <c r="BF149" s="20"/>
      <c r="BG149" s="20"/>
      <c r="BH149" s="21"/>
      <c r="BI149" s="21"/>
      <c r="BJ149" s="20"/>
    </row>
    <row r="150" spans="1:62" x14ac:dyDescent="0.25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1"/>
      <c r="M150" s="21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/>
      <c r="AS150" s="20"/>
      <c r="AT150" s="20"/>
      <c r="AU150" s="20"/>
      <c r="AV150" s="20"/>
      <c r="AW150" s="20"/>
      <c r="AX150" s="20"/>
      <c r="AY150" s="20"/>
      <c r="AZ150" s="20"/>
      <c r="BA150" s="20"/>
      <c r="BB150" s="20"/>
      <c r="BC150" s="20"/>
      <c r="BD150" s="20"/>
      <c r="BE150" s="20"/>
      <c r="BF150" s="20"/>
      <c r="BG150" s="20"/>
      <c r="BH150" s="21"/>
      <c r="BI150" s="21"/>
      <c r="BJ150" s="20"/>
    </row>
    <row r="151" spans="1:62" x14ac:dyDescent="0.25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1"/>
      <c r="M151" s="21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/>
      <c r="AS151" s="20"/>
      <c r="AT151" s="20"/>
      <c r="AU151" s="20"/>
      <c r="AV151" s="20"/>
      <c r="AW151" s="20"/>
      <c r="AX151" s="20"/>
      <c r="AY151" s="20"/>
      <c r="AZ151" s="20"/>
      <c r="BA151" s="20"/>
      <c r="BB151" s="20"/>
      <c r="BC151" s="20"/>
      <c r="BD151" s="20"/>
      <c r="BE151" s="20"/>
      <c r="BF151" s="20"/>
      <c r="BG151" s="20"/>
      <c r="BH151" s="21"/>
      <c r="BI151" s="21"/>
      <c r="BJ151" s="20"/>
    </row>
    <row r="152" spans="1:62" x14ac:dyDescent="0.25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1"/>
      <c r="M152" s="21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/>
      <c r="AS152" s="20"/>
      <c r="AT152" s="20"/>
      <c r="AU152" s="20"/>
      <c r="AV152" s="20"/>
      <c r="AW152" s="20"/>
      <c r="AX152" s="20"/>
      <c r="AY152" s="20"/>
      <c r="AZ152" s="20"/>
      <c r="BA152" s="20"/>
      <c r="BB152" s="20"/>
      <c r="BC152" s="20"/>
      <c r="BD152" s="20"/>
      <c r="BE152" s="20"/>
      <c r="BF152" s="20"/>
      <c r="BG152" s="20"/>
      <c r="BH152" s="21"/>
      <c r="BI152" s="21"/>
      <c r="BJ152" s="20"/>
    </row>
    <row r="153" spans="1:62" x14ac:dyDescent="0.25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1"/>
      <c r="M153" s="21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/>
      <c r="AS153" s="20"/>
      <c r="AT153" s="20"/>
      <c r="AU153" s="20"/>
      <c r="AV153" s="20"/>
      <c r="AW153" s="20"/>
      <c r="AX153" s="20"/>
      <c r="AY153" s="20"/>
      <c r="AZ153" s="20"/>
      <c r="BA153" s="20"/>
      <c r="BB153" s="20"/>
      <c r="BC153" s="20"/>
      <c r="BD153" s="20"/>
      <c r="BE153" s="20"/>
      <c r="BF153" s="20"/>
      <c r="BG153" s="20"/>
      <c r="BH153" s="21"/>
      <c r="BI153" s="21"/>
      <c r="BJ153" s="20"/>
    </row>
    <row r="154" spans="1:62" x14ac:dyDescent="0.25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1"/>
      <c r="M154" s="21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1"/>
      <c r="BI154" s="21"/>
      <c r="BJ154" s="20"/>
    </row>
    <row r="155" spans="1:62" x14ac:dyDescent="0.25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1"/>
      <c r="M155" s="21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/>
      <c r="AS155" s="20"/>
      <c r="AT155" s="20"/>
      <c r="AU155" s="20"/>
      <c r="AV155" s="20"/>
      <c r="AW155" s="20"/>
      <c r="AX155" s="20"/>
      <c r="AY155" s="20"/>
      <c r="AZ155" s="20"/>
      <c r="BA155" s="20"/>
      <c r="BB155" s="20"/>
      <c r="BC155" s="20"/>
      <c r="BD155" s="20"/>
      <c r="BE155" s="20"/>
      <c r="BF155" s="20"/>
      <c r="BG155" s="20"/>
      <c r="BH155" s="21"/>
      <c r="BI155" s="21"/>
      <c r="BJ155" s="20"/>
    </row>
    <row r="156" spans="1:62" x14ac:dyDescent="0.25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1"/>
      <c r="M156" s="21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/>
      <c r="AS156" s="20"/>
      <c r="AT156" s="20"/>
      <c r="AU156" s="20"/>
      <c r="AV156" s="20"/>
      <c r="AW156" s="20"/>
      <c r="AX156" s="20"/>
      <c r="AY156" s="20"/>
      <c r="AZ156" s="20"/>
      <c r="BA156" s="20"/>
      <c r="BB156" s="20"/>
      <c r="BC156" s="20"/>
      <c r="BD156" s="20"/>
      <c r="BE156" s="20"/>
      <c r="BF156" s="20"/>
      <c r="BG156" s="20"/>
      <c r="BH156" s="21"/>
      <c r="BI156" s="21"/>
      <c r="BJ156" s="20"/>
    </row>
    <row r="157" spans="1:62" x14ac:dyDescent="0.25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1"/>
      <c r="M157" s="21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/>
      <c r="AS157" s="20"/>
      <c r="AT157" s="20"/>
      <c r="AU157" s="20"/>
      <c r="AV157" s="20"/>
      <c r="AW157" s="20"/>
      <c r="AX157" s="20"/>
      <c r="AY157" s="20"/>
      <c r="AZ157" s="20"/>
      <c r="BA157" s="20"/>
      <c r="BB157" s="20"/>
      <c r="BC157" s="20"/>
      <c r="BD157" s="20"/>
      <c r="BE157" s="20"/>
      <c r="BF157" s="20"/>
      <c r="BG157" s="20"/>
      <c r="BH157" s="21"/>
      <c r="BI157" s="21"/>
      <c r="BJ157" s="20"/>
    </row>
    <row r="158" spans="1:62" x14ac:dyDescent="0.25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1"/>
      <c r="M158" s="21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/>
      <c r="AS158" s="20"/>
      <c r="AT158" s="20"/>
      <c r="AU158" s="20"/>
      <c r="AV158" s="20"/>
      <c r="AW158" s="20"/>
      <c r="AX158" s="20"/>
      <c r="AY158" s="20"/>
      <c r="AZ158" s="20"/>
      <c r="BA158" s="20"/>
      <c r="BB158" s="20"/>
      <c r="BC158" s="20"/>
      <c r="BD158" s="20"/>
      <c r="BE158" s="20"/>
      <c r="BF158" s="20"/>
      <c r="BG158" s="20"/>
      <c r="BH158" s="21"/>
      <c r="BI158" s="21"/>
      <c r="BJ158" s="20"/>
    </row>
    <row r="159" spans="1:62" x14ac:dyDescent="0.25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1"/>
      <c r="M159" s="21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/>
      <c r="AS159" s="20"/>
      <c r="AT159" s="20"/>
      <c r="AU159" s="20"/>
      <c r="AV159" s="20"/>
      <c r="AW159" s="20"/>
      <c r="AX159" s="20"/>
      <c r="AY159" s="20"/>
      <c r="AZ159" s="20"/>
      <c r="BA159" s="20"/>
      <c r="BB159" s="20"/>
      <c r="BC159" s="20"/>
      <c r="BD159" s="20"/>
      <c r="BE159" s="20"/>
      <c r="BF159" s="20"/>
      <c r="BG159" s="20"/>
      <c r="BH159" s="21"/>
      <c r="BI159" s="21"/>
      <c r="BJ159" s="20"/>
    </row>
    <row r="160" spans="1:62" x14ac:dyDescent="0.25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1"/>
      <c r="M160" s="21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/>
      <c r="AS160" s="20"/>
      <c r="AT160" s="20"/>
      <c r="AU160" s="20"/>
      <c r="AV160" s="20"/>
      <c r="AW160" s="20"/>
      <c r="AX160" s="20"/>
      <c r="AY160" s="20"/>
      <c r="AZ160" s="20"/>
      <c r="BA160" s="20"/>
      <c r="BB160" s="20"/>
      <c r="BC160" s="20"/>
      <c r="BD160" s="20"/>
      <c r="BE160" s="20"/>
      <c r="BF160" s="20"/>
      <c r="BG160" s="20"/>
      <c r="BH160" s="21"/>
      <c r="BI160" s="21"/>
      <c r="BJ160" s="20"/>
    </row>
    <row r="161" spans="1:62" x14ac:dyDescent="0.25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1"/>
      <c r="M161" s="21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/>
      <c r="AS161" s="20"/>
      <c r="AT161" s="20"/>
      <c r="AU161" s="20"/>
      <c r="AV161" s="20"/>
      <c r="AW161" s="20"/>
      <c r="AX161" s="20"/>
      <c r="AY161" s="20"/>
      <c r="AZ161" s="20"/>
      <c r="BA161" s="20"/>
      <c r="BB161" s="20"/>
      <c r="BC161" s="20"/>
      <c r="BD161" s="20"/>
      <c r="BE161" s="20"/>
      <c r="BF161" s="20"/>
      <c r="BG161" s="20"/>
      <c r="BH161" s="21"/>
      <c r="BI161" s="21"/>
      <c r="BJ161" s="20"/>
    </row>
    <row r="162" spans="1:62" x14ac:dyDescent="0.25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1"/>
      <c r="M162" s="21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/>
      <c r="AS162" s="20"/>
      <c r="AT162" s="20"/>
      <c r="AU162" s="20"/>
      <c r="AV162" s="20"/>
      <c r="AW162" s="20"/>
      <c r="AX162" s="20"/>
      <c r="AY162" s="20"/>
      <c r="AZ162" s="20"/>
      <c r="BA162" s="20"/>
      <c r="BB162" s="20"/>
      <c r="BC162" s="20"/>
      <c r="BD162" s="20"/>
      <c r="BE162" s="20"/>
      <c r="BF162" s="20"/>
      <c r="BG162" s="20"/>
      <c r="BH162" s="21"/>
      <c r="BI162" s="21"/>
      <c r="BJ162" s="20"/>
    </row>
    <row r="163" spans="1:62" x14ac:dyDescent="0.25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1"/>
      <c r="M163" s="21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/>
      <c r="AS163" s="20"/>
      <c r="AT163" s="20"/>
      <c r="AU163" s="20"/>
      <c r="AV163" s="20"/>
      <c r="AW163" s="20"/>
      <c r="AX163" s="20"/>
      <c r="AY163" s="20"/>
      <c r="AZ163" s="20"/>
      <c r="BA163" s="20"/>
      <c r="BB163" s="20"/>
      <c r="BC163" s="20"/>
      <c r="BD163" s="20"/>
      <c r="BE163" s="20"/>
      <c r="BF163" s="20"/>
      <c r="BG163" s="20"/>
      <c r="BH163" s="21"/>
      <c r="BI163" s="21"/>
      <c r="BJ163" s="20"/>
    </row>
    <row r="164" spans="1:62" x14ac:dyDescent="0.25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1"/>
      <c r="M164" s="21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1"/>
      <c r="BI164" s="21"/>
      <c r="BJ164" s="20"/>
    </row>
    <row r="165" spans="1:62" x14ac:dyDescent="0.25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1"/>
      <c r="M165" s="21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/>
      <c r="AS165" s="20"/>
      <c r="AT165" s="20"/>
      <c r="AU165" s="20"/>
      <c r="AV165" s="20"/>
      <c r="AW165" s="20"/>
      <c r="AX165" s="20"/>
      <c r="AY165" s="20"/>
      <c r="AZ165" s="20"/>
      <c r="BA165" s="20"/>
      <c r="BB165" s="20"/>
      <c r="BC165" s="20"/>
      <c r="BD165" s="20"/>
      <c r="BE165" s="20"/>
      <c r="BF165" s="20"/>
      <c r="BG165" s="20"/>
      <c r="BH165" s="21"/>
      <c r="BI165" s="21"/>
      <c r="BJ165" s="20"/>
    </row>
    <row r="166" spans="1:62" x14ac:dyDescent="0.25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1"/>
      <c r="M166" s="21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/>
      <c r="AS166" s="20"/>
      <c r="AT166" s="20"/>
      <c r="AU166" s="20"/>
      <c r="AV166" s="20"/>
      <c r="AW166" s="20"/>
      <c r="AX166" s="20"/>
      <c r="AY166" s="20"/>
      <c r="AZ166" s="20"/>
      <c r="BA166" s="20"/>
      <c r="BB166" s="20"/>
      <c r="BC166" s="20"/>
      <c r="BD166" s="20"/>
      <c r="BE166" s="20"/>
      <c r="BF166" s="20"/>
      <c r="BG166" s="20"/>
      <c r="BH166" s="21"/>
      <c r="BI166" s="21"/>
      <c r="BJ166" s="20"/>
    </row>
    <row r="167" spans="1:62" x14ac:dyDescent="0.25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1"/>
      <c r="M167" s="21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/>
      <c r="AS167" s="20"/>
      <c r="AT167" s="20"/>
      <c r="AU167" s="20"/>
      <c r="AV167" s="20"/>
      <c r="AW167" s="20"/>
      <c r="AX167" s="20"/>
      <c r="AY167" s="20"/>
      <c r="AZ167" s="20"/>
      <c r="BA167" s="20"/>
      <c r="BB167" s="20"/>
      <c r="BC167" s="20"/>
      <c r="BD167" s="20"/>
      <c r="BE167" s="20"/>
      <c r="BF167" s="20"/>
      <c r="BG167" s="20"/>
      <c r="BH167" s="21"/>
      <c r="BI167" s="21"/>
      <c r="BJ167" s="20"/>
    </row>
    <row r="168" spans="1:62" x14ac:dyDescent="0.25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1"/>
      <c r="M168" s="21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1"/>
      <c r="BI168" s="21"/>
      <c r="BJ168" s="20"/>
    </row>
    <row r="169" spans="1:62" x14ac:dyDescent="0.25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1"/>
      <c r="M169" s="21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1"/>
      <c r="BI169" s="21"/>
      <c r="BJ169" s="20"/>
    </row>
    <row r="170" spans="1:62" x14ac:dyDescent="0.25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1"/>
      <c r="M170" s="21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1"/>
      <c r="BI170" s="21"/>
      <c r="BJ170" s="20"/>
    </row>
    <row r="171" spans="1:62" x14ac:dyDescent="0.25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1"/>
      <c r="M171" s="21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/>
      <c r="AS171" s="20"/>
      <c r="AT171" s="20"/>
      <c r="AU171" s="20"/>
      <c r="AV171" s="20"/>
      <c r="AW171" s="20"/>
      <c r="AX171" s="20"/>
      <c r="AY171" s="20"/>
      <c r="AZ171" s="20"/>
      <c r="BA171" s="20"/>
      <c r="BB171" s="20"/>
      <c r="BC171" s="20"/>
      <c r="BD171" s="20"/>
      <c r="BE171" s="20"/>
      <c r="BF171" s="20"/>
      <c r="BG171" s="20"/>
      <c r="BH171" s="21"/>
      <c r="BI171" s="21"/>
      <c r="BJ171" s="20"/>
    </row>
    <row r="172" spans="1:62" x14ac:dyDescent="0.25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1"/>
      <c r="M172" s="21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1"/>
      <c r="BI172" s="21"/>
      <c r="BJ172" s="20"/>
    </row>
    <row r="173" spans="1:62" x14ac:dyDescent="0.25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1"/>
      <c r="M173" s="21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/>
      <c r="AS173" s="20"/>
      <c r="AT173" s="20"/>
      <c r="AU173" s="20"/>
      <c r="AV173" s="20"/>
      <c r="AW173" s="20"/>
      <c r="AX173" s="20"/>
      <c r="AY173" s="20"/>
      <c r="AZ173" s="20"/>
      <c r="BA173" s="20"/>
      <c r="BB173" s="20"/>
      <c r="BC173" s="20"/>
      <c r="BD173" s="20"/>
      <c r="BE173" s="20"/>
      <c r="BF173" s="20"/>
      <c r="BG173" s="20"/>
      <c r="BH173" s="21"/>
      <c r="BI173" s="21"/>
      <c r="BJ173" s="20"/>
    </row>
    <row r="174" spans="1:62" x14ac:dyDescent="0.25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1"/>
      <c r="M174" s="21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/>
      <c r="AS174" s="20"/>
      <c r="AT174" s="20"/>
      <c r="AU174" s="20"/>
      <c r="AV174" s="20"/>
      <c r="AW174" s="20"/>
      <c r="AX174" s="20"/>
      <c r="AY174" s="20"/>
      <c r="AZ174" s="20"/>
      <c r="BA174" s="20"/>
      <c r="BB174" s="20"/>
      <c r="BC174" s="20"/>
      <c r="BD174" s="20"/>
      <c r="BE174" s="20"/>
      <c r="BF174" s="20"/>
      <c r="BG174" s="20"/>
      <c r="BH174" s="21"/>
      <c r="BI174" s="21"/>
      <c r="BJ174" s="20"/>
    </row>
    <row r="175" spans="1:62" x14ac:dyDescent="0.25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1"/>
      <c r="M175" s="21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1"/>
      <c r="BI175" s="21"/>
      <c r="BJ175" s="20"/>
    </row>
    <row r="176" spans="1:62" x14ac:dyDescent="0.25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1"/>
      <c r="M176" s="21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/>
      <c r="AS176" s="20"/>
      <c r="AT176" s="20"/>
      <c r="AU176" s="20"/>
      <c r="AV176" s="20"/>
      <c r="AW176" s="20"/>
      <c r="AX176" s="20"/>
      <c r="AY176" s="20"/>
      <c r="AZ176" s="20"/>
      <c r="BA176" s="20"/>
      <c r="BB176" s="20"/>
      <c r="BC176" s="20"/>
      <c r="BD176" s="20"/>
      <c r="BE176" s="20"/>
      <c r="BF176" s="20"/>
      <c r="BG176" s="20"/>
      <c r="BH176" s="21"/>
      <c r="BI176" s="21"/>
      <c r="BJ176" s="20"/>
    </row>
    <row r="177" spans="1:62" x14ac:dyDescent="0.25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1"/>
      <c r="M177" s="21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/>
      <c r="AS177" s="20"/>
      <c r="AT177" s="20"/>
      <c r="AU177" s="20"/>
      <c r="AV177" s="20"/>
      <c r="AW177" s="20"/>
      <c r="AX177" s="20"/>
      <c r="AY177" s="20"/>
      <c r="AZ177" s="20"/>
      <c r="BA177" s="20"/>
      <c r="BB177" s="20"/>
      <c r="BC177" s="20"/>
      <c r="BD177" s="20"/>
      <c r="BE177" s="20"/>
      <c r="BF177" s="20"/>
      <c r="BG177" s="20"/>
      <c r="BH177" s="21"/>
      <c r="BI177" s="21"/>
      <c r="BJ177" s="20"/>
    </row>
    <row r="178" spans="1:62" x14ac:dyDescent="0.25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1"/>
      <c r="M178" s="21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/>
      <c r="AS178" s="20"/>
      <c r="AT178" s="20"/>
      <c r="AU178" s="20"/>
      <c r="AV178" s="20"/>
      <c r="AW178" s="20"/>
      <c r="AX178" s="20"/>
      <c r="AY178" s="20"/>
      <c r="AZ178" s="20"/>
      <c r="BA178" s="20"/>
      <c r="BB178" s="20"/>
      <c r="BC178" s="20"/>
      <c r="BD178" s="20"/>
      <c r="BE178" s="20"/>
      <c r="BF178" s="20"/>
      <c r="BG178" s="20"/>
      <c r="BH178" s="21"/>
      <c r="BI178" s="21"/>
      <c r="BJ178" s="20"/>
    </row>
    <row r="179" spans="1:62" x14ac:dyDescent="0.25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1"/>
      <c r="M179" s="21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/>
      <c r="AS179" s="20"/>
      <c r="AT179" s="20"/>
      <c r="AU179" s="20"/>
      <c r="AV179" s="20"/>
      <c r="AW179" s="20"/>
      <c r="AX179" s="20"/>
      <c r="AY179" s="20"/>
      <c r="AZ179" s="20"/>
      <c r="BA179" s="20"/>
      <c r="BB179" s="20"/>
      <c r="BC179" s="20"/>
      <c r="BD179" s="20"/>
      <c r="BE179" s="20"/>
      <c r="BF179" s="20"/>
      <c r="BG179" s="20"/>
      <c r="BH179" s="21"/>
      <c r="BI179" s="21"/>
      <c r="BJ179" s="20"/>
    </row>
    <row r="180" spans="1:62" x14ac:dyDescent="0.25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1"/>
      <c r="M180" s="21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1"/>
      <c r="BI180" s="21"/>
      <c r="BJ180" s="20"/>
    </row>
    <row r="181" spans="1:62" x14ac:dyDescent="0.25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1"/>
      <c r="M181" s="21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/>
      <c r="AS181" s="20"/>
      <c r="AT181" s="20"/>
      <c r="AU181" s="20"/>
      <c r="AV181" s="20"/>
      <c r="AW181" s="20"/>
      <c r="AX181" s="20"/>
      <c r="AY181" s="20"/>
      <c r="AZ181" s="20"/>
      <c r="BA181" s="20"/>
      <c r="BB181" s="20"/>
      <c r="BC181" s="20"/>
      <c r="BD181" s="20"/>
      <c r="BE181" s="20"/>
      <c r="BF181" s="20"/>
      <c r="BG181" s="20"/>
      <c r="BH181" s="21"/>
      <c r="BI181" s="21"/>
      <c r="BJ181" s="20"/>
    </row>
    <row r="182" spans="1:62" x14ac:dyDescent="0.25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1"/>
      <c r="M182" s="21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/>
      <c r="AS182" s="20"/>
      <c r="AT182" s="20"/>
      <c r="AU182" s="20"/>
      <c r="AV182" s="20"/>
      <c r="AW182" s="20"/>
      <c r="AX182" s="20"/>
      <c r="AY182" s="20"/>
      <c r="AZ182" s="20"/>
      <c r="BA182" s="20"/>
      <c r="BB182" s="20"/>
      <c r="BC182" s="20"/>
      <c r="BD182" s="20"/>
      <c r="BE182" s="20"/>
      <c r="BF182" s="20"/>
      <c r="BG182" s="20"/>
      <c r="BH182" s="21"/>
      <c r="BI182" s="21"/>
      <c r="BJ182" s="20"/>
    </row>
    <row r="183" spans="1:62" x14ac:dyDescent="0.25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1"/>
      <c r="M183" s="21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/>
      <c r="AS183" s="20"/>
      <c r="AT183" s="20"/>
      <c r="AU183" s="20"/>
      <c r="AV183" s="20"/>
      <c r="AW183" s="20"/>
      <c r="AX183" s="20"/>
      <c r="AY183" s="20"/>
      <c r="AZ183" s="20"/>
      <c r="BA183" s="20"/>
      <c r="BB183" s="20"/>
      <c r="BC183" s="20"/>
      <c r="BD183" s="20"/>
      <c r="BE183" s="20"/>
      <c r="BF183" s="20"/>
      <c r="BG183" s="20"/>
      <c r="BH183" s="21"/>
      <c r="BI183" s="21"/>
      <c r="BJ183" s="20"/>
    </row>
    <row r="184" spans="1:62" x14ac:dyDescent="0.25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1"/>
      <c r="M184" s="21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/>
      <c r="AS184" s="20"/>
      <c r="AT184" s="20"/>
      <c r="AU184" s="20"/>
      <c r="AV184" s="20"/>
      <c r="AW184" s="20"/>
      <c r="AX184" s="20"/>
      <c r="AY184" s="20"/>
      <c r="AZ184" s="20"/>
      <c r="BA184" s="20"/>
      <c r="BB184" s="20"/>
      <c r="BC184" s="20"/>
      <c r="BD184" s="20"/>
      <c r="BE184" s="20"/>
      <c r="BF184" s="20"/>
      <c r="BG184" s="20"/>
      <c r="BH184" s="21"/>
      <c r="BI184" s="21"/>
      <c r="BJ184" s="20"/>
    </row>
    <row r="185" spans="1:62" x14ac:dyDescent="0.25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1"/>
      <c r="M185" s="21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1"/>
      <c r="BI185" s="21"/>
      <c r="BJ185" s="20"/>
    </row>
    <row r="186" spans="1:62" x14ac:dyDescent="0.25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1"/>
      <c r="M186" s="21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1"/>
      <c r="BI186" s="21"/>
      <c r="BJ186" s="20"/>
    </row>
    <row r="187" spans="1:62" x14ac:dyDescent="0.25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1"/>
      <c r="M187" s="21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1"/>
      <c r="BI187" s="21"/>
      <c r="BJ187" s="20"/>
    </row>
    <row r="188" spans="1:62" x14ac:dyDescent="0.25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1"/>
      <c r="M188" s="21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1"/>
      <c r="BI188" s="21"/>
      <c r="BJ188" s="20"/>
    </row>
    <row r="189" spans="1:62" x14ac:dyDescent="0.25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1"/>
      <c r="M189" s="21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1"/>
      <c r="BI189" s="21"/>
      <c r="BJ189" s="20"/>
    </row>
    <row r="190" spans="1:62" x14ac:dyDescent="0.25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1"/>
      <c r="M190" s="21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  <c r="AP190" s="20"/>
      <c r="AQ190" s="20"/>
      <c r="AR190" s="20"/>
      <c r="AS190" s="20"/>
      <c r="AT190" s="20"/>
      <c r="AU190" s="20"/>
      <c r="AV190" s="20"/>
      <c r="AW190" s="20"/>
      <c r="AX190" s="20"/>
      <c r="AY190" s="20"/>
      <c r="AZ190" s="20"/>
      <c r="BA190" s="20"/>
      <c r="BB190" s="20"/>
      <c r="BC190" s="20"/>
      <c r="BD190" s="20"/>
      <c r="BE190" s="20"/>
      <c r="BF190" s="20"/>
      <c r="BG190" s="20"/>
      <c r="BH190" s="21"/>
      <c r="BI190" s="21"/>
      <c r="BJ190" s="20"/>
    </row>
    <row r="191" spans="1:62" x14ac:dyDescent="0.25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1"/>
      <c r="M191" s="21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  <c r="AP191" s="20"/>
      <c r="AQ191" s="20"/>
      <c r="AR191" s="20"/>
      <c r="AS191" s="20"/>
      <c r="AT191" s="20"/>
      <c r="AU191" s="20"/>
      <c r="AV191" s="20"/>
      <c r="AW191" s="20"/>
      <c r="AX191" s="20"/>
      <c r="AY191" s="20"/>
      <c r="AZ191" s="20"/>
      <c r="BA191" s="20"/>
      <c r="BB191" s="20"/>
      <c r="BC191" s="20"/>
      <c r="BD191" s="20"/>
      <c r="BE191" s="20"/>
      <c r="BF191" s="20"/>
      <c r="BG191" s="20"/>
      <c r="BH191" s="21"/>
      <c r="BI191" s="21"/>
      <c r="BJ191" s="20"/>
    </row>
    <row r="192" spans="1:62" x14ac:dyDescent="0.25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1"/>
      <c r="M192" s="21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  <c r="AP192" s="20"/>
      <c r="AQ192" s="20"/>
      <c r="AR192" s="20"/>
      <c r="AS192" s="20"/>
      <c r="AT192" s="20"/>
      <c r="AU192" s="20"/>
      <c r="AV192" s="20"/>
      <c r="AW192" s="20"/>
      <c r="AX192" s="20"/>
      <c r="AY192" s="20"/>
      <c r="AZ192" s="20"/>
      <c r="BA192" s="20"/>
      <c r="BB192" s="20"/>
      <c r="BC192" s="20"/>
      <c r="BD192" s="20"/>
      <c r="BE192" s="20"/>
      <c r="BF192" s="20"/>
      <c r="BG192" s="20"/>
      <c r="BH192" s="21"/>
      <c r="BI192" s="21"/>
      <c r="BJ192" s="20"/>
    </row>
    <row r="193" spans="1:62" x14ac:dyDescent="0.25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1"/>
      <c r="M193" s="21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1"/>
      <c r="BI193" s="21"/>
      <c r="BJ193" s="20"/>
    </row>
    <row r="194" spans="1:62" x14ac:dyDescent="0.25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1"/>
      <c r="M194" s="21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  <c r="AP194" s="20"/>
      <c r="AQ194" s="20"/>
      <c r="AR194" s="20"/>
      <c r="AS194" s="20"/>
      <c r="AT194" s="20"/>
      <c r="AU194" s="20"/>
      <c r="AV194" s="20"/>
      <c r="AW194" s="20"/>
      <c r="AX194" s="20"/>
      <c r="AY194" s="20"/>
      <c r="AZ194" s="20"/>
      <c r="BA194" s="20"/>
      <c r="BB194" s="20"/>
      <c r="BC194" s="20"/>
      <c r="BD194" s="20"/>
      <c r="BE194" s="20"/>
      <c r="BF194" s="20"/>
      <c r="BG194" s="20"/>
      <c r="BH194" s="21"/>
      <c r="BI194" s="21"/>
      <c r="BJ194" s="20"/>
    </row>
    <row r="195" spans="1:62" x14ac:dyDescent="0.25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1"/>
      <c r="M195" s="21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1"/>
      <c r="BI195" s="21"/>
      <c r="BJ195" s="20"/>
    </row>
    <row r="196" spans="1:62" x14ac:dyDescent="0.25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1"/>
      <c r="M196" s="21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  <c r="AP196" s="20"/>
      <c r="AQ196" s="20"/>
      <c r="AR196" s="20"/>
      <c r="AS196" s="20"/>
      <c r="AT196" s="20"/>
      <c r="AU196" s="20"/>
      <c r="AV196" s="20"/>
      <c r="AW196" s="20"/>
      <c r="AX196" s="20"/>
      <c r="AY196" s="20"/>
      <c r="AZ196" s="20"/>
      <c r="BA196" s="20"/>
      <c r="BB196" s="20"/>
      <c r="BC196" s="20"/>
      <c r="BD196" s="20"/>
      <c r="BE196" s="20"/>
      <c r="BF196" s="20"/>
      <c r="BG196" s="20"/>
      <c r="BH196" s="21"/>
      <c r="BI196" s="21"/>
      <c r="BJ196" s="20"/>
    </row>
    <row r="197" spans="1:62" x14ac:dyDescent="0.25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1"/>
      <c r="M197" s="21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1"/>
      <c r="BI197" s="21"/>
      <c r="BJ197" s="20"/>
    </row>
    <row r="198" spans="1:62" x14ac:dyDescent="0.25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1"/>
      <c r="M198" s="21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  <c r="AP198" s="20"/>
      <c r="AQ198" s="20"/>
      <c r="AR198" s="20"/>
      <c r="AS198" s="20"/>
      <c r="AT198" s="20"/>
      <c r="AU198" s="20"/>
      <c r="AV198" s="20"/>
      <c r="AW198" s="20"/>
      <c r="AX198" s="20"/>
      <c r="AY198" s="20"/>
      <c r="AZ198" s="20"/>
      <c r="BA198" s="20"/>
      <c r="BB198" s="20"/>
      <c r="BC198" s="20"/>
      <c r="BD198" s="20"/>
      <c r="BE198" s="20"/>
      <c r="BF198" s="20"/>
      <c r="BG198" s="20"/>
      <c r="BH198" s="21"/>
      <c r="BI198" s="21"/>
      <c r="BJ198" s="20"/>
    </row>
    <row r="199" spans="1:62" x14ac:dyDescent="0.25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1"/>
      <c r="M199" s="21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1"/>
      <c r="BI199" s="21"/>
      <c r="BJ199" s="20"/>
    </row>
  </sheetData>
  <mergeCells count="28">
    <mergeCell ref="BH2:BH4"/>
    <mergeCell ref="BI2:BI4"/>
    <mergeCell ref="BJ2:BJ4"/>
    <mergeCell ref="B2:C4"/>
    <mergeCell ref="G2:G4"/>
    <mergeCell ref="W3:W4"/>
    <mergeCell ref="Y3:Y4"/>
    <mergeCell ref="Z3:Z4"/>
    <mergeCell ref="AA3:AA4"/>
    <mergeCell ref="AB3:AB4"/>
    <mergeCell ref="BC3:BG3"/>
    <mergeCell ref="AD2:BG2"/>
    <mergeCell ref="A1:BJ1"/>
    <mergeCell ref="I2:AA2"/>
    <mergeCell ref="I3:N3"/>
    <mergeCell ref="Q3:U3"/>
    <mergeCell ref="AD3:AL3"/>
    <mergeCell ref="AM3:AR3"/>
    <mergeCell ref="AS3:AU3"/>
    <mergeCell ref="AW3:AX3"/>
    <mergeCell ref="AY3:BB3"/>
    <mergeCell ref="A2:A4"/>
    <mergeCell ref="D2:D4"/>
    <mergeCell ref="E2:E4"/>
    <mergeCell ref="F2:F4"/>
    <mergeCell ref="H2:H4"/>
    <mergeCell ref="V3:V4"/>
    <mergeCell ref="AC3:AC4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4"/>
  <sheetViews>
    <sheetView workbookViewId="0">
      <selection activeCell="F3" sqref="F3"/>
    </sheetView>
  </sheetViews>
  <sheetFormatPr defaultColWidth="9" defaultRowHeight="14.4" x14ac:dyDescent="0.25"/>
  <cols>
    <col min="1" max="1" width="11.88671875" customWidth="1"/>
    <col min="3" max="3" width="15.21875" customWidth="1"/>
    <col min="4" max="4" width="12.33203125" customWidth="1"/>
    <col min="5" max="5" width="10.33203125" customWidth="1"/>
    <col min="6" max="6" width="21.109375" customWidth="1"/>
    <col min="7" max="7" width="16.5546875" customWidth="1"/>
    <col min="8" max="8" width="10.33203125" customWidth="1"/>
    <col min="9" max="9" width="53.5546875" customWidth="1"/>
    <col min="11" max="11" width="10.33203125"/>
    <col min="14" max="14" width="12.6640625"/>
    <col min="16" max="16" width="12.6640625"/>
  </cols>
  <sheetData>
    <row r="1" spans="1:9" s="1" customFormat="1" ht="30" customHeight="1" x14ac:dyDescent="0.25">
      <c r="A1" s="64" t="s">
        <v>80</v>
      </c>
      <c r="B1" s="64"/>
      <c r="C1" s="64"/>
      <c r="D1" s="64"/>
      <c r="E1" s="64"/>
      <c r="F1" s="64"/>
      <c r="G1" s="64"/>
      <c r="H1" s="64"/>
      <c r="I1" s="64"/>
    </row>
    <row r="2" spans="1:9" s="2" customFormat="1" ht="25.05" customHeight="1" x14ac:dyDescent="0.25">
      <c r="A2" s="65" t="s">
        <v>1</v>
      </c>
      <c r="B2" s="65"/>
      <c r="C2" s="3" t="s">
        <v>81</v>
      </c>
      <c r="D2" s="4" t="s">
        <v>3</v>
      </c>
      <c r="E2" s="4" t="s">
        <v>2</v>
      </c>
      <c r="F2" s="4" t="s">
        <v>82</v>
      </c>
      <c r="G2" s="4" t="s">
        <v>83</v>
      </c>
      <c r="H2" s="4" t="s">
        <v>84</v>
      </c>
      <c r="I2" s="3" t="s">
        <v>8</v>
      </c>
    </row>
    <row r="3" spans="1:9" ht="19.95" customHeight="1" x14ac:dyDescent="0.25">
      <c r="A3" s="5" t="s">
        <v>42</v>
      </c>
      <c r="B3" s="6" t="s">
        <v>43</v>
      </c>
      <c r="C3" s="6"/>
      <c r="D3" s="7"/>
      <c r="E3" s="8">
        <v>510.47</v>
      </c>
      <c r="F3" s="9">
        <f>C3+D3+E3</f>
        <v>510.47</v>
      </c>
      <c r="G3" s="9">
        <v>510.6</v>
      </c>
      <c r="H3" s="10">
        <f>G3-F3</f>
        <v>0.12999999999999501</v>
      </c>
      <c r="I3" s="11"/>
    </row>
    <row r="4" spans="1:9" ht="19.95" customHeight="1" x14ac:dyDescent="0.25">
      <c r="A4" s="5" t="s">
        <v>44</v>
      </c>
      <c r="B4" s="6" t="s">
        <v>45</v>
      </c>
      <c r="C4" s="6"/>
      <c r="D4" s="8"/>
      <c r="E4" s="8">
        <v>332.6</v>
      </c>
      <c r="F4" s="9">
        <f>C4+D4+E4</f>
        <v>332.6</v>
      </c>
      <c r="G4" s="9">
        <v>332.6</v>
      </c>
      <c r="H4" s="10">
        <f>G4-F4</f>
        <v>0</v>
      </c>
      <c r="I4" s="11"/>
    </row>
    <row r="5" spans="1:9" ht="19.95" customHeight="1" x14ac:dyDescent="0.25">
      <c r="A5" s="5" t="s">
        <v>46</v>
      </c>
      <c r="B5" s="6" t="s">
        <v>47</v>
      </c>
      <c r="C5" s="6"/>
      <c r="D5" s="8"/>
      <c r="E5" s="8">
        <v>386.01</v>
      </c>
      <c r="F5" s="9">
        <f>C5+D5+E5</f>
        <v>386.01</v>
      </c>
      <c r="G5" s="9">
        <v>386.1</v>
      </c>
      <c r="H5" s="10">
        <f>G5-F5</f>
        <v>9.0000000000031805E-2</v>
      </c>
      <c r="I5" s="11"/>
    </row>
    <row r="6" spans="1:9" ht="19.95" customHeight="1" x14ac:dyDescent="0.25">
      <c r="A6" s="5" t="s">
        <v>48</v>
      </c>
      <c r="B6" s="6" t="s">
        <v>49</v>
      </c>
      <c r="C6" s="6"/>
      <c r="D6" s="8"/>
      <c r="E6" s="6">
        <v>333.97</v>
      </c>
      <c r="F6" s="9">
        <f t="shared" ref="F6:F12" si="0">C6+D6+E6</f>
        <v>333.97</v>
      </c>
      <c r="G6" s="9">
        <v>333.9</v>
      </c>
      <c r="H6" s="10">
        <f t="shared" ref="H6:H19" si="1">G6-F6</f>
        <v>-7.0000000000049994E-2</v>
      </c>
      <c r="I6" s="8"/>
    </row>
    <row r="7" spans="1:9" ht="19.95" customHeight="1" x14ac:dyDescent="0.25">
      <c r="A7" s="5" t="s">
        <v>50</v>
      </c>
      <c r="B7" s="6" t="s">
        <v>51</v>
      </c>
      <c r="C7" s="6"/>
      <c r="D7" s="8"/>
      <c r="E7" s="6">
        <v>470.67</v>
      </c>
      <c r="F7" s="9">
        <f t="shared" si="0"/>
        <v>470.67</v>
      </c>
      <c r="G7" s="9">
        <v>471</v>
      </c>
      <c r="H7" s="10">
        <f t="shared" si="1"/>
        <v>0.32999999999998397</v>
      </c>
      <c r="I7" s="12"/>
    </row>
    <row r="8" spans="1:9" ht="19.95" customHeight="1" x14ac:dyDescent="0.25">
      <c r="A8" s="5" t="s">
        <v>52</v>
      </c>
      <c r="B8" s="6" t="s">
        <v>53</v>
      </c>
      <c r="C8" s="6"/>
      <c r="D8" s="8"/>
      <c r="E8" s="6"/>
      <c r="F8" s="9">
        <f t="shared" si="0"/>
        <v>0</v>
      </c>
      <c r="G8" s="9"/>
      <c r="H8" s="10">
        <f t="shared" si="1"/>
        <v>0</v>
      </c>
      <c r="I8" s="8"/>
    </row>
    <row r="9" spans="1:9" ht="19.95" customHeight="1" x14ac:dyDescent="0.25">
      <c r="A9" s="5" t="s">
        <v>54</v>
      </c>
      <c r="B9" s="6" t="s">
        <v>55</v>
      </c>
      <c r="C9" s="6"/>
      <c r="D9" s="8"/>
      <c r="E9" s="6"/>
      <c r="F9" s="9">
        <f t="shared" si="0"/>
        <v>0</v>
      </c>
      <c r="G9" s="9"/>
      <c r="H9" s="10">
        <f t="shared" si="1"/>
        <v>0</v>
      </c>
      <c r="I9" s="8"/>
    </row>
    <row r="10" spans="1:9" ht="19.95" customHeight="1" x14ac:dyDescent="0.25">
      <c r="A10" s="5" t="s">
        <v>56</v>
      </c>
      <c r="B10" s="6" t="s">
        <v>43</v>
      </c>
      <c r="C10" s="6"/>
      <c r="D10" s="8"/>
      <c r="E10" s="6"/>
      <c r="F10" s="9">
        <f t="shared" si="0"/>
        <v>0</v>
      </c>
      <c r="G10" s="13"/>
      <c r="H10" s="14">
        <f t="shared" si="1"/>
        <v>0</v>
      </c>
      <c r="I10" s="11"/>
    </row>
    <row r="11" spans="1:9" ht="18" x14ac:dyDescent="0.25">
      <c r="A11" s="5" t="s">
        <v>57</v>
      </c>
      <c r="B11" s="6" t="s">
        <v>45</v>
      </c>
      <c r="C11" s="6"/>
      <c r="D11" s="6"/>
      <c r="E11" s="6"/>
      <c r="F11" s="9">
        <f t="shared" si="0"/>
        <v>0</v>
      </c>
      <c r="G11" s="9"/>
      <c r="H11" s="10">
        <f t="shared" si="1"/>
        <v>0</v>
      </c>
      <c r="I11" s="15"/>
    </row>
    <row r="12" spans="1:9" ht="19.95" customHeight="1" x14ac:dyDescent="0.25">
      <c r="A12" s="5" t="s">
        <v>58</v>
      </c>
      <c r="B12" s="6" t="s">
        <v>47</v>
      </c>
      <c r="C12" s="6"/>
      <c r="D12" s="9"/>
      <c r="E12" s="6"/>
      <c r="F12" s="9">
        <f t="shared" si="0"/>
        <v>0</v>
      </c>
      <c r="G12" s="9"/>
      <c r="H12" s="10">
        <f t="shared" si="1"/>
        <v>0</v>
      </c>
      <c r="I12" s="11"/>
    </row>
    <row r="13" spans="1:9" ht="19.95" customHeight="1" x14ac:dyDescent="0.25">
      <c r="A13" s="5" t="s">
        <v>59</v>
      </c>
      <c r="B13" s="6" t="s">
        <v>49</v>
      </c>
      <c r="C13" s="6"/>
      <c r="D13" s="8"/>
      <c r="E13" s="6"/>
      <c r="F13" s="9">
        <f t="shared" ref="F13:F26" si="2">C13+D13+E13</f>
        <v>0</v>
      </c>
      <c r="G13" s="9"/>
      <c r="H13" s="10">
        <f t="shared" si="1"/>
        <v>0</v>
      </c>
      <c r="I13" s="8"/>
    </row>
    <row r="14" spans="1:9" ht="19.95" customHeight="1" x14ac:dyDescent="0.25">
      <c r="A14" s="5" t="s">
        <v>60</v>
      </c>
      <c r="B14" s="6" t="s">
        <v>51</v>
      </c>
      <c r="C14" s="6"/>
      <c r="D14" s="8"/>
      <c r="E14" s="6"/>
      <c r="F14" s="9">
        <f t="shared" si="2"/>
        <v>0</v>
      </c>
      <c r="G14" s="9"/>
      <c r="H14" s="10">
        <f t="shared" si="1"/>
        <v>0</v>
      </c>
      <c r="I14" s="11"/>
    </row>
    <row r="15" spans="1:9" ht="19.95" customHeight="1" x14ac:dyDescent="0.25">
      <c r="A15" s="5" t="s">
        <v>61</v>
      </c>
      <c r="B15" s="6" t="s">
        <v>53</v>
      </c>
      <c r="C15" s="6"/>
      <c r="D15" s="8"/>
      <c r="E15" s="6"/>
      <c r="F15" s="9">
        <f t="shared" si="2"/>
        <v>0</v>
      </c>
      <c r="G15" s="9"/>
      <c r="H15" s="10">
        <f t="shared" si="1"/>
        <v>0</v>
      </c>
      <c r="I15" s="16"/>
    </row>
    <row r="16" spans="1:9" ht="19.95" customHeight="1" x14ac:dyDescent="0.25">
      <c r="A16" s="5" t="s">
        <v>62</v>
      </c>
      <c r="B16" s="6" t="s">
        <v>55</v>
      </c>
      <c r="C16" s="6"/>
      <c r="D16" s="8"/>
      <c r="E16" s="6"/>
      <c r="F16" s="9">
        <f t="shared" si="2"/>
        <v>0</v>
      </c>
      <c r="G16" s="9"/>
      <c r="H16" s="10">
        <f t="shared" si="1"/>
        <v>0</v>
      </c>
      <c r="I16" s="11"/>
    </row>
    <row r="17" spans="1:9" ht="19.95" customHeight="1" x14ac:dyDescent="0.25">
      <c r="A17" s="5" t="s">
        <v>63</v>
      </c>
      <c r="B17" s="6" t="s">
        <v>43</v>
      </c>
      <c r="C17" s="6"/>
      <c r="D17" s="8"/>
      <c r="E17" s="6"/>
      <c r="F17" s="9">
        <f t="shared" si="2"/>
        <v>0</v>
      </c>
      <c r="G17" s="9"/>
      <c r="H17" s="10">
        <f t="shared" si="1"/>
        <v>0</v>
      </c>
      <c r="I17" s="11"/>
    </row>
    <row r="18" spans="1:9" ht="19.95" customHeight="1" x14ac:dyDescent="0.25">
      <c r="A18" s="5" t="s">
        <v>64</v>
      </c>
      <c r="B18" s="6" t="s">
        <v>45</v>
      </c>
      <c r="C18" s="6"/>
      <c r="D18" s="8"/>
      <c r="E18" s="6"/>
      <c r="F18" s="9">
        <f t="shared" si="2"/>
        <v>0</v>
      </c>
      <c r="G18" s="9"/>
      <c r="H18" s="10">
        <f t="shared" si="1"/>
        <v>0</v>
      </c>
      <c r="I18" s="8"/>
    </row>
    <row r="19" spans="1:9" ht="19.95" customHeight="1" x14ac:dyDescent="0.25">
      <c r="A19" s="5" t="s">
        <v>65</v>
      </c>
      <c r="B19" s="6" t="s">
        <v>47</v>
      </c>
      <c r="C19" s="6"/>
      <c r="D19" s="8"/>
      <c r="E19" s="6"/>
      <c r="F19" s="9">
        <f t="shared" si="2"/>
        <v>0</v>
      </c>
      <c r="G19" s="9"/>
      <c r="H19" s="10">
        <f t="shared" si="1"/>
        <v>0</v>
      </c>
      <c r="I19" s="8"/>
    </row>
    <row r="20" spans="1:9" ht="19.95" customHeight="1" x14ac:dyDescent="0.25">
      <c r="A20" s="5" t="s">
        <v>66</v>
      </c>
      <c r="B20" s="6" t="s">
        <v>49</v>
      </c>
      <c r="C20" s="6"/>
      <c r="D20" s="8"/>
      <c r="E20" s="6"/>
      <c r="F20" s="9">
        <f t="shared" si="2"/>
        <v>0</v>
      </c>
      <c r="G20" s="9"/>
      <c r="H20" s="10">
        <f t="shared" ref="H20:H26" si="3">G20-F20</f>
        <v>0</v>
      </c>
      <c r="I20" s="8"/>
    </row>
    <row r="21" spans="1:9" ht="19.95" customHeight="1" x14ac:dyDescent="0.25">
      <c r="A21" s="5" t="s">
        <v>67</v>
      </c>
      <c r="B21" s="6" t="s">
        <v>51</v>
      </c>
      <c r="C21" s="6"/>
      <c r="D21" s="8"/>
      <c r="E21" s="6"/>
      <c r="F21" s="9">
        <f t="shared" si="2"/>
        <v>0</v>
      </c>
      <c r="G21" s="9"/>
      <c r="H21" s="10">
        <f t="shared" si="3"/>
        <v>0</v>
      </c>
      <c r="I21" s="11"/>
    </row>
    <row r="22" spans="1:9" ht="19.95" customHeight="1" x14ac:dyDescent="0.25">
      <c r="A22" s="5" t="s">
        <v>68</v>
      </c>
      <c r="B22" s="6" t="s">
        <v>53</v>
      </c>
      <c r="C22" s="6"/>
      <c r="D22" s="8"/>
      <c r="E22" s="6"/>
      <c r="F22" s="9">
        <f t="shared" si="2"/>
        <v>0</v>
      </c>
      <c r="G22" s="9"/>
      <c r="H22" s="10">
        <f t="shared" si="3"/>
        <v>0</v>
      </c>
      <c r="I22" s="8"/>
    </row>
    <row r="23" spans="1:9" ht="19.95" customHeight="1" x14ac:dyDescent="0.25">
      <c r="A23" s="5" t="s">
        <v>69</v>
      </c>
      <c r="B23" s="6" t="s">
        <v>55</v>
      </c>
      <c r="C23" s="6"/>
      <c r="D23" s="8"/>
      <c r="E23" s="6"/>
      <c r="F23" s="9">
        <f t="shared" si="2"/>
        <v>0</v>
      </c>
      <c r="G23" s="9"/>
      <c r="H23" s="10">
        <f t="shared" si="3"/>
        <v>0</v>
      </c>
      <c r="I23" s="8"/>
    </row>
    <row r="24" spans="1:9" ht="19.95" customHeight="1" x14ac:dyDescent="0.25">
      <c r="A24" s="5" t="s">
        <v>70</v>
      </c>
      <c r="B24" s="6" t="s">
        <v>43</v>
      </c>
      <c r="C24" s="6"/>
      <c r="D24" s="8"/>
      <c r="E24" s="6"/>
      <c r="F24" s="9">
        <f t="shared" si="2"/>
        <v>0</v>
      </c>
      <c r="G24" s="9"/>
      <c r="H24" s="10">
        <f t="shared" si="3"/>
        <v>0</v>
      </c>
      <c r="I24" s="11"/>
    </row>
    <row r="25" spans="1:9" ht="19.95" customHeight="1" x14ac:dyDescent="0.25">
      <c r="A25" s="5" t="s">
        <v>71</v>
      </c>
      <c r="B25" s="6" t="s">
        <v>45</v>
      </c>
      <c r="C25" s="6"/>
      <c r="D25" s="8"/>
      <c r="E25" s="6"/>
      <c r="F25" s="9">
        <f t="shared" si="2"/>
        <v>0</v>
      </c>
      <c r="G25" s="9"/>
      <c r="H25" s="10">
        <f t="shared" si="3"/>
        <v>0</v>
      </c>
      <c r="I25" s="8"/>
    </row>
    <row r="26" spans="1:9" ht="19.95" customHeight="1" x14ac:dyDescent="0.25">
      <c r="A26" s="5" t="s">
        <v>72</v>
      </c>
      <c r="B26" s="6" t="s">
        <v>47</v>
      </c>
      <c r="C26" s="6"/>
      <c r="D26" s="8"/>
      <c r="E26" s="6"/>
      <c r="F26" s="9">
        <f t="shared" si="2"/>
        <v>0</v>
      </c>
      <c r="G26" s="9"/>
      <c r="H26" s="10">
        <f t="shared" si="3"/>
        <v>0</v>
      </c>
      <c r="I26" s="8"/>
    </row>
    <row r="27" spans="1:9" ht="19.95" customHeight="1" x14ac:dyDescent="0.25">
      <c r="A27" s="5" t="s">
        <v>73</v>
      </c>
      <c r="B27" s="6" t="s">
        <v>49</v>
      </c>
      <c r="C27" s="6"/>
      <c r="D27" s="8"/>
      <c r="E27" s="6"/>
      <c r="F27" s="9">
        <f t="shared" ref="F27:F33" si="4">C27+D27+E27</f>
        <v>0</v>
      </c>
      <c r="G27" s="9"/>
      <c r="H27" s="10">
        <f t="shared" ref="H27:H33" si="5">G27-F27</f>
        <v>0</v>
      </c>
      <c r="I27" s="8"/>
    </row>
    <row r="28" spans="1:9" ht="19.95" customHeight="1" x14ac:dyDescent="0.25">
      <c r="A28" s="5" t="s">
        <v>74</v>
      </c>
      <c r="B28" s="6" t="s">
        <v>51</v>
      </c>
      <c r="C28" s="6"/>
      <c r="D28" s="8"/>
      <c r="E28" s="6"/>
      <c r="F28" s="9">
        <f t="shared" si="4"/>
        <v>0</v>
      </c>
      <c r="G28" s="9"/>
      <c r="H28" s="10">
        <f t="shared" si="5"/>
        <v>0</v>
      </c>
      <c r="I28" s="11"/>
    </row>
    <row r="29" spans="1:9" ht="19.95" customHeight="1" x14ac:dyDescent="0.25">
      <c r="A29" s="5" t="s">
        <v>75</v>
      </c>
      <c r="B29" s="6" t="s">
        <v>53</v>
      </c>
      <c r="C29" s="6"/>
      <c r="D29" s="8"/>
      <c r="E29" s="6"/>
      <c r="F29" s="9">
        <f t="shared" si="4"/>
        <v>0</v>
      </c>
      <c r="G29" s="9"/>
      <c r="H29" s="10">
        <f t="shared" si="5"/>
        <v>0</v>
      </c>
      <c r="I29" s="8"/>
    </row>
    <row r="30" spans="1:9" ht="21" customHeight="1" x14ac:dyDescent="0.25">
      <c r="A30" s="5" t="s">
        <v>76</v>
      </c>
      <c r="B30" s="6" t="s">
        <v>55</v>
      </c>
      <c r="C30" s="6"/>
      <c r="D30" s="8"/>
      <c r="E30" s="6"/>
      <c r="F30" s="9">
        <f t="shared" si="4"/>
        <v>0</v>
      </c>
      <c r="G30" s="9"/>
      <c r="H30" s="10">
        <f t="shared" si="5"/>
        <v>0</v>
      </c>
      <c r="I30" s="11"/>
    </row>
    <row r="31" spans="1:9" ht="21" customHeight="1" x14ac:dyDescent="0.25">
      <c r="A31" s="5" t="s">
        <v>77</v>
      </c>
      <c r="B31" s="6" t="s">
        <v>43</v>
      </c>
      <c r="C31" s="6"/>
      <c r="D31" s="8"/>
      <c r="E31" s="6"/>
      <c r="F31" s="9">
        <f t="shared" si="4"/>
        <v>0</v>
      </c>
      <c r="G31" s="9"/>
      <c r="H31" s="10">
        <f t="shared" si="5"/>
        <v>0</v>
      </c>
      <c r="I31" s="11"/>
    </row>
    <row r="32" spans="1:9" ht="21" customHeight="1" x14ac:dyDescent="0.25">
      <c r="A32" s="5" t="s">
        <v>78</v>
      </c>
      <c r="B32" s="6" t="s">
        <v>45</v>
      </c>
      <c r="C32" s="6"/>
      <c r="D32" s="8"/>
      <c r="E32" s="6"/>
      <c r="F32" s="9">
        <f t="shared" si="4"/>
        <v>0</v>
      </c>
      <c r="G32" s="9"/>
      <c r="H32" s="10">
        <f t="shared" si="5"/>
        <v>0</v>
      </c>
      <c r="I32" s="11"/>
    </row>
    <row r="33" spans="1:9" ht="21" customHeight="1" x14ac:dyDescent="0.25">
      <c r="A33" s="5"/>
      <c r="B33" s="6"/>
      <c r="C33" s="6"/>
      <c r="D33" s="8"/>
      <c r="E33" s="7"/>
      <c r="F33" s="9">
        <f t="shared" si="4"/>
        <v>0</v>
      </c>
      <c r="G33" s="9"/>
      <c r="H33" s="10">
        <f t="shared" si="5"/>
        <v>0</v>
      </c>
      <c r="I33" s="11"/>
    </row>
    <row r="34" spans="1:9" ht="19.95" customHeight="1" x14ac:dyDescent="0.25">
      <c r="A34" s="66" t="s">
        <v>85</v>
      </c>
      <c r="B34" s="66"/>
      <c r="C34" s="9"/>
      <c r="D34" s="9">
        <f>SUM(D3:D33)</f>
        <v>0</v>
      </c>
      <c r="E34" s="9">
        <f>SUM(E3:E33)</f>
        <v>2033.72</v>
      </c>
      <c r="F34" s="9">
        <f>SUM(F3:F33)</f>
        <v>2033.72</v>
      </c>
      <c r="G34" s="9">
        <f>SUM(G3:G33)</f>
        <v>2034.2</v>
      </c>
      <c r="H34" s="9">
        <f>SUM(H3:H33)</f>
        <v>0.47999999999996101</v>
      </c>
      <c r="I34" s="8"/>
    </row>
  </sheetData>
  <mergeCells count="3">
    <mergeCell ref="A1:I1"/>
    <mergeCell ref="A2:B2"/>
    <mergeCell ref="A34:B34"/>
  </mergeCells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2026年6月东方宝泰店营业额明细统计表</vt:lpstr>
      <vt:lpstr>2026年6月东方宝泰店营业现金登记表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伟城 陈</cp:lastModifiedBy>
  <dcterms:created xsi:type="dcterms:W3CDTF">2023-05-12T11:15:00Z</dcterms:created>
  <dcterms:modified xsi:type="dcterms:W3CDTF">2026-06-16T00:50:06Z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2052-12.1.0.26381</vt:lpwstr>
  </property>
  <property fmtid="{D5CDD505-2E9C-101B-9397-08002B2CF9AE}" pid="3" name="ICV">
    <vt:lpwstr>158A9F13C1F0453F9C5741FD2019CA4B_12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